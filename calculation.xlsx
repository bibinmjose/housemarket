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47657\Documents\calculations\hmark\"/>
    </mc:Choice>
  </mc:AlternateContent>
  <xr:revisionPtr revIDLastSave="0" documentId="13_ncr:1_{4E449666-E8BB-431B-9E8F-2E3299FBB8D4}" xr6:coauthVersionLast="47" xr6:coauthVersionMax="47" xr10:uidLastSave="{00000000-0000-0000-0000-000000000000}"/>
  <bookViews>
    <workbookView xWindow="57645" yWindow="480" windowWidth="28755" windowHeight="14535" xr2:uid="{61E349DD-C396-4897-954F-94B6F0CC0F58}"/>
  </bookViews>
  <sheets>
    <sheet name="main" sheetId="1" r:id="rId1"/>
    <sheet name="finance" sheetId="2" r:id="rId2"/>
  </sheets>
  <definedNames>
    <definedName name="Amount">finance!$B$4</definedName>
    <definedName name="Annual_Rate">finance!$B$1</definedName>
    <definedName name="cap_appreciation_rate">main!$C$1</definedName>
    <definedName name="inflation">main!$C$3</definedName>
    <definedName name="Payments___Year">finance!$B$2</definedName>
    <definedName name="Years">finance!$B$3</definedName>
    <definedName name="yield_rate">main!$C$2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2" l="1"/>
  <c r="N42" i="2"/>
  <c r="M41" i="2"/>
  <c r="M42" i="2"/>
  <c r="L40" i="2"/>
  <c r="L41" i="2"/>
  <c r="L42" i="2"/>
  <c r="C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7" i="1"/>
  <c r="B11" i="2"/>
  <c r="F11" i="2" s="1"/>
  <c r="C11" i="2"/>
  <c r="D11" i="2"/>
  <c r="B12" i="2"/>
  <c r="F12" i="2" s="1"/>
  <c r="C12" i="2"/>
  <c r="D12" i="2"/>
  <c r="B13" i="2"/>
  <c r="F13" i="2" s="1"/>
  <c r="C13" i="2"/>
  <c r="D13" i="2"/>
  <c r="B14" i="2"/>
  <c r="F14" i="2" s="1"/>
  <c r="C14" i="2"/>
  <c r="D14" i="2"/>
  <c r="B15" i="2"/>
  <c r="F15" i="2" s="1"/>
  <c r="C15" i="2"/>
  <c r="D15" i="2"/>
  <c r="B16" i="2"/>
  <c r="F16" i="2" s="1"/>
  <c r="C16" i="2"/>
  <c r="D16" i="2"/>
  <c r="B17" i="2"/>
  <c r="F17" i="2" s="1"/>
  <c r="C17" i="2"/>
  <c r="D17" i="2"/>
  <c r="B18" i="2"/>
  <c r="F18" i="2" s="1"/>
  <c r="C18" i="2"/>
  <c r="D18" i="2"/>
  <c r="B19" i="2"/>
  <c r="F19" i="2" s="1"/>
  <c r="C19" i="2"/>
  <c r="D19" i="2"/>
  <c r="B20" i="2"/>
  <c r="F20" i="2" s="1"/>
  <c r="C20" i="2"/>
  <c r="D20" i="2"/>
  <c r="B21" i="2"/>
  <c r="F21" i="2" s="1"/>
  <c r="C21" i="2"/>
  <c r="D21" i="2"/>
  <c r="B22" i="2"/>
  <c r="F22" i="2" s="1"/>
  <c r="C22" i="2"/>
  <c r="D22" i="2"/>
  <c r="B23" i="2"/>
  <c r="F23" i="2" s="1"/>
  <c r="C23" i="2"/>
  <c r="D23" i="2"/>
  <c r="B24" i="2"/>
  <c r="F24" i="2" s="1"/>
  <c r="C24" i="2"/>
  <c r="D24" i="2"/>
  <c r="B25" i="2"/>
  <c r="F25" i="2" s="1"/>
  <c r="C25" i="2"/>
  <c r="D25" i="2"/>
  <c r="B26" i="2"/>
  <c r="F26" i="2" s="1"/>
  <c r="C26" i="2"/>
  <c r="D26" i="2"/>
  <c r="B27" i="2"/>
  <c r="F27" i="2" s="1"/>
  <c r="C27" i="2"/>
  <c r="D27" i="2"/>
  <c r="B28" i="2"/>
  <c r="F28" i="2" s="1"/>
  <c r="C28" i="2"/>
  <c r="D28" i="2"/>
  <c r="B29" i="2"/>
  <c r="F29" i="2" s="1"/>
  <c r="C29" i="2"/>
  <c r="D29" i="2"/>
  <c r="B30" i="2"/>
  <c r="F30" i="2" s="1"/>
  <c r="C30" i="2"/>
  <c r="D30" i="2"/>
  <c r="B31" i="2"/>
  <c r="F31" i="2" s="1"/>
  <c r="C31" i="2"/>
  <c r="D31" i="2"/>
  <c r="B32" i="2"/>
  <c r="F32" i="2" s="1"/>
  <c r="C32" i="2"/>
  <c r="D32" i="2"/>
  <c r="B33" i="2"/>
  <c r="F33" i="2" s="1"/>
  <c r="C33" i="2"/>
  <c r="D33" i="2"/>
  <c r="B34" i="2"/>
  <c r="F34" i="2" s="1"/>
  <c r="C34" i="2"/>
  <c r="D34" i="2"/>
  <c r="B35" i="2"/>
  <c r="F35" i="2" s="1"/>
  <c r="C35" i="2"/>
  <c r="D35" i="2"/>
  <c r="B36" i="2"/>
  <c r="F36" i="2" s="1"/>
  <c r="C36" i="2"/>
  <c r="D36" i="2"/>
  <c r="B37" i="2"/>
  <c r="F37" i="2" s="1"/>
  <c r="C37" i="2"/>
  <c r="D37" i="2"/>
  <c r="B38" i="2"/>
  <c r="F38" i="2" s="1"/>
  <c r="C38" i="2"/>
  <c r="D38" i="2"/>
  <c r="B10" i="2"/>
  <c r="F10" i="2" s="1"/>
  <c r="C10" i="2"/>
  <c r="D10" i="2"/>
  <c r="D9" i="2"/>
  <c r="C9" i="2"/>
  <c r="E9" i="2" s="1"/>
  <c r="M11" i="2" s="1"/>
  <c r="B9" i="2"/>
  <c r="F9" i="2" s="1"/>
  <c r="O13" i="2" l="1"/>
  <c r="N12" i="2"/>
  <c r="K9" i="2"/>
  <c r="P9" i="2" s="1"/>
  <c r="I7" i="1" s="1"/>
  <c r="J7" i="1" s="1"/>
  <c r="L10" i="2"/>
  <c r="F7" i="1"/>
  <c r="D7" i="1"/>
  <c r="C8" i="1" s="1"/>
  <c r="G7" i="1"/>
  <c r="E10" i="2"/>
  <c r="E11" i="2" l="1"/>
  <c r="O14" i="2"/>
  <c r="K10" i="2"/>
  <c r="P10" i="2" s="1"/>
  <c r="I8" i="1" s="1"/>
  <c r="J8" i="1" s="1"/>
  <c r="L11" i="2"/>
  <c r="M12" i="2"/>
  <c r="N13" i="2"/>
  <c r="D8" i="1"/>
  <c r="C9" i="1" s="1"/>
  <c r="D9" i="1" s="1"/>
  <c r="C10" i="1" s="1"/>
  <c r="F8" i="1"/>
  <c r="G8" i="1" s="1"/>
  <c r="E12" i="2" l="1"/>
  <c r="O15" i="2"/>
  <c r="L12" i="2"/>
  <c r="K11" i="2"/>
  <c r="P11" i="2" s="1"/>
  <c r="I9" i="1" s="1"/>
  <c r="J9" i="1" s="1"/>
  <c r="M13" i="2"/>
  <c r="N14" i="2"/>
  <c r="F9" i="1"/>
  <c r="G9" i="1" s="1"/>
  <c r="D10" i="1"/>
  <c r="C11" i="1" s="1"/>
  <c r="F10" i="1"/>
  <c r="G10" i="1" s="1"/>
  <c r="E13" i="2" l="1"/>
  <c r="N15" i="2"/>
  <c r="K12" i="2"/>
  <c r="P12" i="2" s="1"/>
  <c r="I10" i="1" s="1"/>
  <c r="J10" i="1" s="1"/>
  <c r="O16" i="2"/>
  <c r="L13" i="2"/>
  <c r="M14" i="2"/>
  <c r="D11" i="1"/>
  <c r="C12" i="1" s="1"/>
  <c r="F11" i="1"/>
  <c r="G11" i="1" s="1"/>
  <c r="E14" i="2" l="1"/>
  <c r="M15" i="2"/>
  <c r="L14" i="2"/>
  <c r="K13" i="2"/>
  <c r="P13" i="2" s="1"/>
  <c r="I11" i="1" s="1"/>
  <c r="J11" i="1" s="1"/>
  <c r="N16" i="2"/>
  <c r="O17" i="2"/>
  <c r="F12" i="1"/>
  <c r="G12" i="1" s="1"/>
  <c r="D12" i="1"/>
  <c r="C13" i="1" s="1"/>
  <c r="E15" i="2" l="1"/>
  <c r="K14" i="2"/>
  <c r="P14" i="2" s="1"/>
  <c r="I12" i="1" s="1"/>
  <c r="J12" i="1" s="1"/>
  <c r="M16" i="2"/>
  <c r="N17" i="2"/>
  <c r="O18" i="2"/>
  <c r="L15" i="2"/>
  <c r="F13" i="1"/>
  <c r="G13" i="1" s="1"/>
  <c r="D13" i="1"/>
  <c r="C14" i="1" s="1"/>
  <c r="E16" i="2" l="1"/>
  <c r="O19" i="2"/>
  <c r="M17" i="2"/>
  <c r="N18" i="2"/>
  <c r="L16" i="2"/>
  <c r="K15" i="2"/>
  <c r="P15" i="2" s="1"/>
  <c r="I13" i="1" s="1"/>
  <c r="J13" i="1" s="1"/>
  <c r="F14" i="1"/>
  <c r="G14" i="1" s="1"/>
  <c r="D14" i="1"/>
  <c r="C15" i="1" s="1"/>
  <c r="E17" i="2" l="1"/>
  <c r="N19" i="2"/>
  <c r="M18" i="2"/>
  <c r="O20" i="2"/>
  <c r="L17" i="2"/>
  <c r="K16" i="2"/>
  <c r="P16" i="2" s="1"/>
  <c r="I14" i="1" s="1"/>
  <c r="J14" i="1" s="1"/>
  <c r="F15" i="1"/>
  <c r="G15" i="1" s="1"/>
  <c r="D15" i="1"/>
  <c r="C16" i="1" s="1"/>
  <c r="E18" i="2" l="1"/>
  <c r="M19" i="2"/>
  <c r="N20" i="2"/>
  <c r="O21" i="2"/>
  <c r="L18" i="2"/>
  <c r="K17" i="2"/>
  <c r="P17" i="2" s="1"/>
  <c r="I15" i="1" s="1"/>
  <c r="J15" i="1" s="1"/>
  <c r="F16" i="1"/>
  <c r="G16" i="1" s="1"/>
  <c r="D16" i="1"/>
  <c r="C17" i="1" s="1"/>
  <c r="E19" i="2" l="1"/>
  <c r="M20" i="2"/>
  <c r="N21" i="2"/>
  <c r="O22" i="2"/>
  <c r="L19" i="2"/>
  <c r="K18" i="2"/>
  <c r="P18" i="2" s="1"/>
  <c r="I16" i="1" s="1"/>
  <c r="J16" i="1" s="1"/>
  <c r="F17" i="1"/>
  <c r="G17" i="1" s="1"/>
  <c r="D17" i="1"/>
  <c r="C18" i="1" s="1"/>
  <c r="E20" i="2" l="1"/>
  <c r="N22" i="2"/>
  <c r="M21" i="2"/>
  <c r="O23" i="2"/>
  <c r="K19" i="2"/>
  <c r="P19" i="2" s="1"/>
  <c r="I17" i="1" s="1"/>
  <c r="J17" i="1" s="1"/>
  <c r="L20" i="2"/>
  <c r="F18" i="1"/>
  <c r="G18" i="1" s="1"/>
  <c r="D18" i="1"/>
  <c r="C19" i="1" s="1"/>
  <c r="E21" i="2" l="1"/>
  <c r="M22" i="2"/>
  <c r="N23" i="2"/>
  <c r="K20" i="2"/>
  <c r="P20" i="2" s="1"/>
  <c r="I18" i="1" s="1"/>
  <c r="J18" i="1" s="1"/>
  <c r="O24" i="2"/>
  <c r="L21" i="2"/>
  <c r="F19" i="1"/>
  <c r="G19" i="1" s="1"/>
  <c r="D19" i="1"/>
  <c r="C20" i="1" s="1"/>
  <c r="E22" i="2" l="1"/>
  <c r="K21" i="2"/>
  <c r="P21" i="2" s="1"/>
  <c r="I19" i="1" s="1"/>
  <c r="J19" i="1" s="1"/>
  <c r="M23" i="2"/>
  <c r="N24" i="2"/>
  <c r="O25" i="2"/>
  <c r="L22" i="2"/>
  <c r="F20" i="1"/>
  <c r="G20" i="1" s="1"/>
  <c r="D20" i="1"/>
  <c r="C21" i="1" s="1"/>
  <c r="E23" i="2" l="1"/>
  <c r="L23" i="2"/>
  <c r="K22" i="2"/>
  <c r="P22" i="2" s="1"/>
  <c r="I20" i="1" s="1"/>
  <c r="J20" i="1" s="1"/>
  <c r="M24" i="2"/>
  <c r="O26" i="2"/>
  <c r="N25" i="2"/>
  <c r="F21" i="1"/>
  <c r="G21" i="1" s="1"/>
  <c r="D21" i="1"/>
  <c r="C22" i="1" s="1"/>
  <c r="E24" i="2" l="1"/>
  <c r="L24" i="2"/>
  <c r="K23" i="2"/>
  <c r="P23" i="2" s="1"/>
  <c r="I21" i="1" s="1"/>
  <c r="J21" i="1" s="1"/>
  <c r="O27" i="2"/>
  <c r="M25" i="2"/>
  <c r="N26" i="2"/>
  <c r="F22" i="1"/>
  <c r="G22" i="1" s="1"/>
  <c r="D22" i="1"/>
  <c r="C23" i="1" s="1"/>
  <c r="E25" i="2" l="1"/>
  <c r="O28" i="2"/>
  <c r="L25" i="2"/>
  <c r="K24" i="2"/>
  <c r="P24" i="2" s="1"/>
  <c r="I22" i="1" s="1"/>
  <c r="J22" i="1" s="1"/>
  <c r="N27" i="2"/>
  <c r="M26" i="2"/>
  <c r="F23" i="1"/>
  <c r="G23" i="1" s="1"/>
  <c r="D23" i="1"/>
  <c r="C24" i="1" s="1"/>
  <c r="E26" i="2" l="1"/>
  <c r="K25" i="2"/>
  <c r="P25" i="2" s="1"/>
  <c r="I23" i="1" s="1"/>
  <c r="J23" i="1" s="1"/>
  <c r="O29" i="2"/>
  <c r="L26" i="2"/>
  <c r="N28" i="2"/>
  <c r="M27" i="2"/>
  <c r="F24" i="1"/>
  <c r="G24" i="1" s="1"/>
  <c r="D24" i="1"/>
  <c r="C25" i="1" s="1"/>
  <c r="E27" i="2" l="1"/>
  <c r="N29" i="2"/>
  <c r="O30" i="2"/>
  <c r="L27" i="2"/>
  <c r="K26" i="2"/>
  <c r="P26" i="2" s="1"/>
  <c r="I24" i="1" s="1"/>
  <c r="J24" i="1" s="1"/>
  <c r="M28" i="2"/>
  <c r="F25" i="1"/>
  <c r="G25" i="1" s="1"/>
  <c r="D25" i="1"/>
  <c r="C26" i="1" s="1"/>
  <c r="E28" i="2" l="1"/>
  <c r="M29" i="2"/>
  <c r="O31" i="2"/>
  <c r="N30" i="2"/>
  <c r="L28" i="2"/>
  <c r="K27" i="2"/>
  <c r="P27" i="2" s="1"/>
  <c r="I25" i="1" s="1"/>
  <c r="J25" i="1" s="1"/>
  <c r="F26" i="1"/>
  <c r="G26" i="1" s="1"/>
  <c r="D26" i="1"/>
  <c r="E29" i="2" l="1"/>
  <c r="O32" i="2"/>
  <c r="M30" i="2"/>
  <c r="N31" i="2"/>
  <c r="L29" i="2"/>
  <c r="K28" i="2"/>
  <c r="P28" i="2" s="1"/>
  <c r="I26" i="1" s="1"/>
  <c r="J26" i="1" s="1"/>
  <c r="E30" i="2" l="1"/>
  <c r="L30" i="2"/>
  <c r="M31" i="2"/>
  <c r="N32" i="2"/>
  <c r="O33" i="2"/>
  <c r="K29" i="2"/>
  <c r="P29" i="2" s="1"/>
  <c r="E31" i="2" l="1"/>
  <c r="O34" i="2"/>
  <c r="M32" i="2"/>
  <c r="N33" i="2"/>
  <c r="L31" i="2"/>
  <c r="K30" i="2"/>
  <c r="P30" i="2" s="1"/>
  <c r="E32" i="2" l="1"/>
  <c r="M33" i="2"/>
  <c r="N34" i="2"/>
  <c r="O35" i="2"/>
  <c r="L32" i="2"/>
  <c r="K31" i="2"/>
  <c r="P31" i="2" s="1"/>
  <c r="E33" i="2" l="1"/>
  <c r="M34" i="2"/>
  <c r="N35" i="2"/>
  <c r="O36" i="2"/>
  <c r="L33" i="2"/>
  <c r="K32" i="2"/>
  <c r="P32" i="2" s="1"/>
  <c r="E34" i="2" l="1"/>
  <c r="N36" i="2"/>
  <c r="M35" i="2"/>
  <c r="O37" i="2"/>
  <c r="L34" i="2"/>
  <c r="K33" i="2"/>
  <c r="P33" i="2" s="1"/>
  <c r="E35" i="2" l="1"/>
  <c r="O39" i="2" s="1"/>
  <c r="M36" i="2"/>
  <c r="N37" i="2"/>
  <c r="L35" i="2"/>
  <c r="K34" i="2"/>
  <c r="P34" i="2" s="1"/>
  <c r="O38" i="2"/>
  <c r="E36" i="2" l="1"/>
  <c r="K35" i="2"/>
  <c r="P35" i="2" s="1"/>
  <c r="M37" i="2"/>
  <c r="N38" i="2"/>
  <c r="L36" i="2"/>
  <c r="N39" i="2" l="1"/>
  <c r="O40" i="2"/>
  <c r="E37" i="2"/>
  <c r="L37" i="2"/>
  <c r="K36" i="2"/>
  <c r="P36" i="2" s="1"/>
  <c r="M38" i="2"/>
  <c r="N40" i="2" l="1"/>
  <c r="O41" i="2"/>
  <c r="M39" i="2"/>
  <c r="E38" i="2"/>
  <c r="L38" i="2"/>
  <c r="K37" i="2"/>
  <c r="P37" i="2" s="1"/>
  <c r="N41" i="2" l="1"/>
  <c r="P41" i="2" s="1"/>
  <c r="M40" i="2"/>
  <c r="P40" i="2" s="1"/>
  <c r="O42" i="2"/>
  <c r="P42" i="2" s="1"/>
  <c r="L39" i="2"/>
  <c r="P39" i="2" s="1"/>
  <c r="K38" i="2"/>
  <c r="P38" i="2" s="1"/>
</calcChain>
</file>

<file path=xl/sharedStrings.xml><?xml version="1.0" encoding="utf-8"?>
<sst xmlns="http://schemas.openxmlformats.org/spreadsheetml/2006/main" count="23" uniqueCount="23">
  <si>
    <t>no</t>
  </si>
  <si>
    <t>cap_appreciation_rate</t>
  </si>
  <si>
    <t>addional_capex</t>
  </si>
  <si>
    <t>yearend_cap_appreciation</t>
  </si>
  <si>
    <t>yearbegin_capex</t>
  </si>
  <si>
    <t>Annual Rate</t>
  </si>
  <si>
    <t>Years</t>
  </si>
  <si>
    <t>Amount</t>
  </si>
  <si>
    <t>Payment Number</t>
  </si>
  <si>
    <t>Payment</t>
  </si>
  <si>
    <t xml:space="preserve">Principal </t>
  </si>
  <si>
    <t>Interest</t>
  </si>
  <si>
    <t>Balance</t>
  </si>
  <si>
    <t>Payments / Year</t>
  </si>
  <si>
    <t>weekly_payment</t>
  </si>
  <si>
    <t>yield</t>
  </si>
  <si>
    <t>yield_rate</t>
  </si>
  <si>
    <t>net_income</t>
  </si>
  <si>
    <t>net_asset</t>
  </si>
  <si>
    <t>liability</t>
  </si>
  <si>
    <t>discounted_net_asset</t>
  </si>
  <si>
    <t>inflation</t>
  </si>
  <si>
    <t>yearend_finpayment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</si>
</sst>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3" formatCode="_-* #,##0.00_-;\-* #,##0.00_-;_-* &quot;-&quot;??_-;_-@_-"/>
    <numFmt numFmtId="164" formatCode="_-* #,##0_-;\-* #,##0_-;_-* &quot;-&quot;??_-;_-@_-"/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8" fontId="0" fillId="0" borderId="0" xfId="0" applyNumberFormat="1"/>
    <xf numFmtId="3" fontId="0" fillId="0" borderId="0" xfId="0" applyNumberFormat="1"/>
    <xf numFmtId="9" fontId="0" fillId="0" borderId="0" xfId="2" applyFont="1"/>
    <xf numFmtId="165" fontId="0" fillId="0" borderId="0" xfId="2" applyNumberFormat="1" applyFont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5"/>
          <c:tx>
            <c:strRef>
              <c:f>main!$G$6</c:f>
              <c:strCache>
                <c:ptCount val="1"/>
                <c:pt idx="0">
                  <c:v> net_income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main!$G$7:$G$26</c15:sqref>
                  </c15:fullRef>
                </c:ext>
              </c:extLst>
              <c:f>main!$G$7:$G$21</c:f>
              <c:numCache>
                <c:formatCode>"$"#,##0.00_);[Red]\("$"#,##0.00\)</c:formatCode>
                <c:ptCount val="15"/>
                <c:pt idx="0">
                  <c:v>-16324.45574502361</c:v>
                </c:pt>
                <c:pt idx="1">
                  <c:v>-31248.91149004722</c:v>
                </c:pt>
                <c:pt idx="2">
                  <c:v>-44675.367235070822</c:v>
                </c:pt>
                <c:pt idx="3">
                  <c:v>-56498.962980094439</c:v>
                </c:pt>
                <c:pt idx="4">
                  <c:v>-66607.498525118033</c:v>
                </c:pt>
                <c:pt idx="5">
                  <c:v>-58556.46391111803</c:v>
                </c:pt>
                <c:pt idx="6">
                  <c:v>-49941.85687413803</c:v>
                </c:pt>
                <c:pt idx="7">
                  <c:v>-40724.227344569401</c:v>
                </c:pt>
                <c:pt idx="8">
                  <c:v>-30861.363747930998</c:v>
                </c:pt>
                <c:pt idx="9">
                  <c:v>-20308.099699527869</c:v>
                </c:pt>
                <c:pt idx="10">
                  <c:v>-9016.107167736569</c:v>
                </c:pt>
                <c:pt idx="11">
                  <c:v>3066.3248412801477</c:v>
                </c:pt>
                <c:pt idx="12">
                  <c:v>15994.527090928052</c:v>
                </c:pt>
                <c:pt idx="13">
                  <c:v>29827.703498051298</c:v>
                </c:pt>
                <c:pt idx="14">
                  <c:v>44629.202253673167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6A-4FDA-948B-63E2418B118F}"/>
            </c:ext>
          </c:extLst>
        </c:ser>
        <c:ser>
          <c:idx val="7"/>
          <c:order val="6"/>
          <c:tx>
            <c:strRef>
              <c:f>main!$H$6</c:f>
              <c:strCache>
                <c:ptCount val="1"/>
                <c:pt idx="0">
                  <c:v> liability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main!$H$7:$H$26</c15:sqref>
                  </c15:fullRef>
                </c:ext>
              </c:extLst>
              <c:f>main!$H$7:$H$21</c:f>
              <c:numCache>
                <c:formatCode>_-* #,##0_-;\-* #,##0_-;_-* "-"??_-;_-@_-</c:formatCode>
                <c:ptCount val="15"/>
                <c:pt idx="0">
                  <c:v>493675.54425497638</c:v>
                </c:pt>
                <c:pt idx="1">
                  <c:v>980647.16542022768</c:v>
                </c:pt>
                <c:pt idx="2">
                  <c:v>1460512.6281103706</c:v>
                </c:pt>
                <c:pt idx="3">
                  <c:v>1932845.5628168983</c:v>
                </c:pt>
                <c:pt idx="4">
                  <c:v>2397194.017860794</c:v>
                </c:pt>
                <c:pt idx="5">
                  <c:v>2359403.3802073235</c:v>
                </c:pt>
                <c:pt idx="6">
                  <c:v>2319345.3042946449</c:v>
                </c:pt>
                <c:pt idx="7">
                  <c:v>2276883.7438272061</c:v>
                </c:pt>
                <c:pt idx="8">
                  <c:v>2231874.4897317197</c:v>
                </c:pt>
                <c:pt idx="9">
                  <c:v>2184164.6803905051</c:v>
                </c:pt>
                <c:pt idx="10">
                  <c:v>2133592.2824888173</c:v>
                </c:pt>
                <c:pt idx="11">
                  <c:v>2079985.5407130281</c:v>
                </c:pt>
                <c:pt idx="12">
                  <c:v>2023162.3944306921</c:v>
                </c:pt>
                <c:pt idx="13">
                  <c:v>1962929.8593714153</c:v>
                </c:pt>
                <c:pt idx="14">
                  <c:v>1899083.3722085818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6A-4FDA-948B-63E2418B118F}"/>
            </c:ext>
          </c:extLst>
        </c:ser>
        <c:ser>
          <c:idx val="8"/>
          <c:order val="7"/>
          <c:tx>
            <c:strRef>
              <c:f>main!$I$6</c:f>
              <c:strCache>
                <c:ptCount val="1"/>
                <c:pt idx="0">
                  <c:v> net_asset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 1 </c:v>
              </c:pt>
              <c:pt idx="1">
                <c:v> 2 </c:v>
              </c:pt>
              <c:pt idx="2">
                <c:v> 3 </c:v>
              </c:pt>
              <c:pt idx="3">
                <c:v> 4 </c:v>
              </c:pt>
              <c:pt idx="4">
                <c:v> 5 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13 </c:v>
              </c:pt>
              <c:pt idx="13">
                <c:v> 14 </c:v>
              </c:pt>
              <c:pt idx="14">
                <c:v> 15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main!$I$7:$I$26</c15:sqref>
                  </c15:fullRef>
                </c:ext>
              </c:extLst>
              <c:f>main!$I$7:$I$21</c:f>
              <c:numCache>
                <c:formatCode>_-* #,##0_-;\-* #,##0_-;_-* "-"??_-;_-@_-</c:formatCode>
                <c:ptCount val="15"/>
                <c:pt idx="0">
                  <c:v>41324.455745023617</c:v>
                </c:pt>
                <c:pt idx="1">
                  <c:v>126802.83457977232</c:v>
                </c:pt>
                <c:pt idx="2">
                  <c:v>259458.8718896294</c:v>
                </c:pt>
                <c:pt idx="3">
                  <c:v>442523.94218310202</c:v>
                </c:pt>
                <c:pt idx="4">
                  <c:v>679451.35248920647</c:v>
                </c:pt>
                <c:pt idx="5">
                  <c:v>932607.16606717743</c:v>
                </c:pt>
                <c:pt idx="6">
                  <c:v>1203105.9802190713</c:v>
                </c:pt>
                <c:pt idx="7">
                  <c:v>1492139.1306024706</c:v>
                </c:pt>
                <c:pt idx="8">
                  <c:v>1800979.9859080347</c:v>
                </c:pt>
                <c:pt idx="9">
                  <c:v>2130989.6085440321</c:v>
                </c:pt>
                <c:pt idx="10">
                  <c:v>2483622.8066711379</c:v>
                </c:pt>
                <c:pt idx="11">
                  <c:v>2860434.6046881247</c:v>
                </c:pt>
                <c:pt idx="12">
                  <c:v>3263087.1611485416</c:v>
                </c:pt>
                <c:pt idx="13">
                  <c:v>3693357.1650983654</c:v>
                </c:pt>
                <c:pt idx="14">
                  <c:v>4153143.7439740836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6A-4FDA-948B-63E2418B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679456"/>
        <c:axId val="5736801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main!$A$6</c15:sqref>
                        </c15:formulaRef>
                      </c:ext>
                    </c:extLst>
                    <c:strCache>
                      <c:ptCount val="1"/>
                      <c:pt idx="0">
                        <c:v>no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main!$A$7:$A$26</c15:sqref>
                        </c15:fullRef>
                        <c15:formulaRef>
                          <c15:sqref>main!$A$7:$A$21</c15:sqref>
                        </c15:formulaRef>
                      </c:ext>
                    </c:extLst>
                    <c:numCache>
                      <c:formatCode>0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36A-4FDA-948B-63E2418B118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main!$B$6</c15:sqref>
                        </c15:formulaRef>
                      </c:ext>
                    </c:extLst>
                    <c:strCache>
                      <c:ptCount val="1"/>
                      <c:pt idx="0">
                        <c:v> addional_capex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main!$B$7:$B$26</c15:sqref>
                        </c15:fullRef>
                        <c15:formulaRef>
                          <c15:sqref>main!$B$7:$B$21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500000</c:v>
                      </c:pt>
                      <c:pt idx="1">
                        <c:v>500000</c:v>
                      </c:pt>
                      <c:pt idx="2">
                        <c:v>500000</c:v>
                      </c:pt>
                      <c:pt idx="3">
                        <c:v>500000</c:v>
                      </c:pt>
                      <c:pt idx="4">
                        <c:v>500000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6A-4FDA-948B-63E2418B118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main!$C$6</c15:sqref>
                        </c15:formulaRef>
                      </c:ext>
                    </c:extLst>
                    <c:strCache>
                      <c:ptCount val="1"/>
                      <c:pt idx="0">
                        <c:v> yearbegin_capex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main!$C$7:$C$26</c15:sqref>
                        </c15:fullRef>
                        <c15:formulaRef>
                          <c15:sqref>main!$C$7:$C$21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500000</c:v>
                      </c:pt>
                      <c:pt idx="1">
                        <c:v>1035000</c:v>
                      </c:pt>
                      <c:pt idx="2">
                        <c:v>1607450</c:v>
                      </c:pt>
                      <c:pt idx="3">
                        <c:v>2219971.5</c:v>
                      </c:pt>
                      <c:pt idx="4">
                        <c:v>2875369.5050000004</c:v>
                      </c:pt>
                      <c:pt idx="5">
                        <c:v>3076645.3703500004</c:v>
                      </c:pt>
                      <c:pt idx="6">
                        <c:v>3292010.5462745009</c:v>
                      </c:pt>
                      <c:pt idx="7">
                        <c:v>3522451.2845137161</c:v>
                      </c:pt>
                      <c:pt idx="8">
                        <c:v>3769022.8744296767</c:v>
                      </c:pt>
                      <c:pt idx="9">
                        <c:v>4032854.4756397544</c:v>
                      </c:pt>
                      <c:pt idx="10">
                        <c:v>4315154.2889345372</c:v>
                      </c:pt>
                      <c:pt idx="11">
                        <c:v>4617215.0891599553</c:v>
                      </c:pt>
                      <c:pt idx="12">
                        <c:v>4940420.1454011528</c:v>
                      </c:pt>
                      <c:pt idx="13">
                        <c:v>5286249.5555792339</c:v>
                      </c:pt>
                      <c:pt idx="14">
                        <c:v>5656287.0244697807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36A-4FDA-948B-63E2418B118F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main!$E$6</c15:sqref>
                        </c15:formulaRef>
                      </c:ext>
                    </c:extLst>
                    <c:strCache>
                      <c:ptCount val="1"/>
                      <c:pt idx="0">
                        <c:v> yearend_finpayment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main!$E$7:$E$26</c15:sqref>
                        </c15:fullRef>
                        <c15:formulaRef>
                          <c15:sqref>main!$E$7:$E$21</c15:sqref>
                        </c15:formulaRef>
                      </c:ext>
                    </c:extLst>
                    <c:numCache>
                      <c:formatCode>"$"#,##0.00_);[Red]\("$"#,##0.00\)</c:formatCode>
                      <c:ptCount val="15"/>
                      <c:pt idx="0">
                        <c:v>-36324.45574502361</c:v>
                      </c:pt>
                      <c:pt idx="1">
                        <c:v>-72648.91149004722</c:v>
                      </c:pt>
                      <c:pt idx="2">
                        <c:v>-108973.36723507082</c:v>
                      </c:pt>
                      <c:pt idx="3">
                        <c:v>-145297.82298009444</c:v>
                      </c:pt>
                      <c:pt idx="4">
                        <c:v>-181622.27872511806</c:v>
                      </c:pt>
                      <c:pt idx="5">
                        <c:v>-181622.27872511806</c:v>
                      </c:pt>
                      <c:pt idx="6">
                        <c:v>-181622.27872511806</c:v>
                      </c:pt>
                      <c:pt idx="7">
                        <c:v>-181622.27872511806</c:v>
                      </c:pt>
                      <c:pt idx="8">
                        <c:v>-181622.27872511806</c:v>
                      </c:pt>
                      <c:pt idx="9">
                        <c:v>-181622.27872511806</c:v>
                      </c:pt>
                      <c:pt idx="10">
                        <c:v>-181622.27872511806</c:v>
                      </c:pt>
                      <c:pt idx="11">
                        <c:v>-181622.27872511806</c:v>
                      </c:pt>
                      <c:pt idx="12">
                        <c:v>-181622.27872511806</c:v>
                      </c:pt>
                      <c:pt idx="13">
                        <c:v>-181622.27872511806</c:v>
                      </c:pt>
                      <c:pt idx="14">
                        <c:v>-181622.27872511806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36A-4FDA-948B-63E2418B118F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main!$F$6</c15:sqref>
                        </c15:formulaRef>
                      </c:ext>
                    </c:extLst>
                    <c:strCache>
                      <c:ptCount val="1"/>
                      <c:pt idx="0">
                        <c:v> yield 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main!$F$7:$F$26</c15:sqref>
                        </c15:fullRef>
                        <c15:formulaRef>
                          <c15:sqref>main!$F$7:$F$21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20000</c:v>
                      </c:pt>
                      <c:pt idx="1">
                        <c:v>41400</c:v>
                      </c:pt>
                      <c:pt idx="2">
                        <c:v>64298</c:v>
                      </c:pt>
                      <c:pt idx="3">
                        <c:v>88798.86</c:v>
                      </c:pt>
                      <c:pt idx="4">
                        <c:v>115014.78020000002</c:v>
                      </c:pt>
                      <c:pt idx="5">
                        <c:v>123065.81481400003</c:v>
                      </c:pt>
                      <c:pt idx="6">
                        <c:v>131680.42185098003</c:v>
                      </c:pt>
                      <c:pt idx="7">
                        <c:v>140898.05138054866</c:v>
                      </c:pt>
                      <c:pt idx="8">
                        <c:v>150760.91497718706</c:v>
                      </c:pt>
                      <c:pt idx="9">
                        <c:v>161314.17902559019</c:v>
                      </c:pt>
                      <c:pt idx="10">
                        <c:v>172606.17155738149</c:v>
                      </c:pt>
                      <c:pt idx="11">
                        <c:v>184688.6035663982</c:v>
                      </c:pt>
                      <c:pt idx="12">
                        <c:v>197616.80581604611</c:v>
                      </c:pt>
                      <c:pt idx="13">
                        <c:v>211449.98222316935</c:v>
                      </c:pt>
                      <c:pt idx="14">
                        <c:v>226251.48097879122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36A-4FDA-948B-63E2418B118F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main!$J$6</c15:sqref>
                        </c15:formulaRef>
                      </c:ext>
                    </c:extLst>
                    <c:strCache>
                      <c:ptCount val="1"/>
                      <c:pt idx="0">
                        <c:v> discounted_net_asset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main!$J$7:$J$26</c15:sqref>
                        </c15:fullRef>
                        <c15:formulaRef>
                          <c15:sqref>main!$J$7:$J$21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5"/>
                      <c:pt idx="0">
                        <c:v>38985.335608512847</c:v>
                      </c:pt>
                      <c:pt idx="1">
                        <c:v>112854.0713597119</c:v>
                      </c:pt>
                      <c:pt idx="2">
                        <c:v>217846.67199234045</c:v>
                      </c:pt>
                      <c:pt idx="3">
                        <c:v>350520.41043434321</c:v>
                      </c:pt>
                      <c:pt idx="4">
                        <c:v>507725.57621245563</c:v>
                      </c:pt>
                      <c:pt idx="5">
                        <c:v>657451.25180863228</c:v>
                      </c:pt>
                      <c:pt idx="6">
                        <c:v>800134.19058626681</c:v>
                      </c:pt>
                      <c:pt idx="7">
                        <c:v>936186.55030322738</c:v>
                      </c:pt>
                      <c:pt idx="8">
                        <c:v>1065997.2865072917</c:v>
                      </c:pt>
                      <c:pt idx="9">
                        <c:v>1189933.4670713791</c:v>
                      </c:pt>
                      <c:pt idx="10">
                        <c:v>1308341.5123324799</c:v>
                      </c:pt>
                      <c:pt idx="11">
                        <c:v>1421548.3650454863</c:v>
                      </c:pt>
                      <c:pt idx="12">
                        <c:v>1529862.5941247847</c:v>
                      </c:pt>
                      <c:pt idx="13">
                        <c:v>1633575.4359215817</c:v>
                      </c:pt>
                      <c:pt idx="14">
                        <c:v>1732961.7765727753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36A-4FDA-948B-63E2418B118F}"/>
                  </c:ext>
                </c:extLst>
              </c15:ser>
            </c15:filteredLineSeries>
          </c:ext>
        </c:extLst>
      </c:lineChart>
      <c:catAx>
        <c:axId val="573679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80176"/>
        <c:crosses val="autoZero"/>
        <c:auto val="1"/>
        <c:lblAlgn val="ctr"/>
        <c:lblOffset val="100"/>
        <c:noMultiLvlLbl val="0"/>
      </c:catAx>
      <c:valAx>
        <c:axId val="5736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7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472846</xdr:colOff>
      <xdr:row>9</xdr:row>
      <xdr:rowOff>48738</xdr:rowOff>
    </xdr:from>
    <xdr:to>
      <xdr:col>20</xdr:col>
      <xdr:colOff>431643</xdr:colOff>
      <xdr:row>33</xdr:row>
      <xdr:rowOff>82086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D5F98-5E5D-DEBE-6062-015DC7718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43BD-A745-4AD3-8316-13267078B599}">
  <dimension ref="A1:J26"/>
  <sheetViews>
    <sheetView tabSelected="1" topLeftCell="A13" zoomScale="89" zoomScaleNormal="89" workbookViewId="0">
      <selection activeCell="G30" sqref="G30"/>
    </sheetView>
  </sheetViews>
  <sheetFormatPr defaultRowHeight="14.4" x14ac:dyDescent="0.3"/>
  <cols>
    <col min="1" max="1" width="3.21875" style="1" bestFit="1" customWidth="1"/>
    <col min="2" max="2" width="20.44140625" style="2" bestFit="1" customWidth="1"/>
    <col min="3" max="3" width="16.77734375" style="2" bestFit="1" customWidth="1"/>
    <col min="4" max="4" width="25.5546875" style="2" bestFit="1" customWidth="1"/>
    <col min="5" max="5" width="21.6640625" bestFit="1" customWidth="1"/>
    <col min="6" max="6" width="9.33203125" bestFit="1" customWidth="1"/>
    <col min="7" max="7" width="12.109375" bestFit="1" customWidth="1"/>
    <col min="8" max="8" width="12.5546875" customWidth="1"/>
    <col min="9" max="9" width="13.109375" customWidth="1"/>
    <col min="10" max="10" width="14.5546875" customWidth="1"/>
    <col min="11" max="11" width="9.109375" bestFit="1" customWidth="1"/>
  </cols>
  <sheetData>
    <row r="1" spans="1:10" x14ac:dyDescent="0.3">
      <c r="B1" t="s">
        <v>1</v>
      </c>
      <c r="C1" s="5">
        <v>7.0000000000000007E-2</v>
      </c>
    </row>
    <row r="2" spans="1:10" x14ac:dyDescent="0.3">
      <c r="B2" t="s">
        <v>16</v>
      </c>
      <c r="C2" s="5">
        <v>0.04</v>
      </c>
    </row>
    <row r="3" spans="1:10" x14ac:dyDescent="0.3">
      <c r="B3" s="2" t="s">
        <v>21</v>
      </c>
      <c r="C3" s="5">
        <v>0.06</v>
      </c>
    </row>
    <row r="6" spans="1:10" x14ac:dyDescent="0.3">
      <c r="A6" s="1" t="s">
        <v>0</v>
      </c>
      <c r="B6" s="2" t="s">
        <v>2</v>
      </c>
      <c r="C6" s="2" t="s">
        <v>4</v>
      </c>
      <c r="D6" s="2" t="s">
        <v>3</v>
      </c>
      <c r="E6" s="2" t="s">
        <v>22</v>
      </c>
      <c r="F6" s="2" t="s">
        <v>15</v>
      </c>
      <c r="G6" s="2" t="s">
        <v>17</v>
      </c>
      <c r="H6" s="2" t="s">
        <v>19</v>
      </c>
      <c r="I6" s="2" t="s">
        <v>18</v>
      </c>
      <c r="J6" s="2" t="s">
        <v>20</v>
      </c>
    </row>
    <row r="7" spans="1:10" x14ac:dyDescent="0.3">
      <c r="A7" s="1">
        <v>1</v>
      </c>
      <c r="B7" s="2">
        <v>500000</v>
      </c>
      <c r="C7" s="2">
        <f>B7</f>
        <v>500000</v>
      </c>
      <c r="D7" s="2">
        <f t="shared" ref="D7:D26" si="0">C7*(1+cap_appreciation_rate)</f>
        <v>535000</v>
      </c>
      <c r="E7" s="3">
        <f>PMT(Annual_Rate/Payments___Year,Years*Payments___Year,SUM($B$7:B7))</f>
        <v>-36324.45574502361</v>
      </c>
      <c r="F7" s="7">
        <f t="shared" ref="F7:F26" si="1">C7*yield_rate</f>
        <v>20000</v>
      </c>
      <c r="G7" s="3">
        <f>E7+F7</f>
        <v>-16324.45574502361</v>
      </c>
      <c r="H7" s="2">
        <v>493675.54425497638</v>
      </c>
      <c r="I7" s="7">
        <f>D7-H7</f>
        <v>41324.455745023617</v>
      </c>
      <c r="J7" s="7">
        <f t="shared" ref="J7:J26" si="2">I7/(1+inflation)^A7</f>
        <v>38985.335608512847</v>
      </c>
    </row>
    <row r="8" spans="1:10" x14ac:dyDescent="0.3">
      <c r="A8" s="1">
        <v>2</v>
      </c>
      <c r="B8" s="2">
        <v>500000</v>
      </c>
      <c r="C8" s="2">
        <f>D7+B8</f>
        <v>1035000</v>
      </c>
      <c r="D8" s="2">
        <f t="shared" si="0"/>
        <v>1107450</v>
      </c>
      <c r="E8" s="3">
        <f>PMT(Annual_Rate/Payments___Year,Years*Payments___Year,SUM($B$7:B8))</f>
        <v>-72648.91149004722</v>
      </c>
      <c r="F8" s="7">
        <f t="shared" si="1"/>
        <v>41400</v>
      </c>
      <c r="G8" s="3">
        <f t="shared" ref="G8:G26" si="3">E8+F8</f>
        <v>-31248.91149004722</v>
      </c>
      <c r="H8" s="2">
        <v>980647.16542022768</v>
      </c>
      <c r="I8" s="7">
        <f t="shared" ref="I8:I26" si="4">D8-H8</f>
        <v>126802.83457977232</v>
      </c>
      <c r="J8" s="7">
        <f t="shared" si="2"/>
        <v>112854.0713597119</v>
      </c>
    </row>
    <row r="9" spans="1:10" x14ac:dyDescent="0.3">
      <c r="A9" s="1">
        <v>3</v>
      </c>
      <c r="B9" s="2">
        <v>500000</v>
      </c>
      <c r="C9" s="2">
        <f t="shared" ref="C9:C26" si="5">D8+B9</f>
        <v>1607450</v>
      </c>
      <c r="D9" s="2">
        <f t="shared" si="0"/>
        <v>1719971.5</v>
      </c>
      <c r="E9" s="3">
        <f>PMT(Annual_Rate/Payments___Year,Years*Payments___Year,SUM($B$7:B9))</f>
        <v>-108973.36723507082</v>
      </c>
      <c r="F9" s="7">
        <f t="shared" si="1"/>
        <v>64298</v>
      </c>
      <c r="G9" s="3">
        <f t="shared" si="3"/>
        <v>-44675.367235070822</v>
      </c>
      <c r="H9" s="2">
        <v>1460512.6281103706</v>
      </c>
      <c r="I9" s="7">
        <f t="shared" si="4"/>
        <v>259458.8718896294</v>
      </c>
      <c r="J9" s="7">
        <f t="shared" si="2"/>
        <v>217846.67199234045</v>
      </c>
    </row>
    <row r="10" spans="1:10" x14ac:dyDescent="0.3">
      <c r="A10" s="1">
        <v>4</v>
      </c>
      <c r="B10" s="2">
        <v>500000</v>
      </c>
      <c r="C10" s="2">
        <f t="shared" si="5"/>
        <v>2219971.5</v>
      </c>
      <c r="D10" s="2">
        <f t="shared" si="0"/>
        <v>2375369.5050000004</v>
      </c>
      <c r="E10" s="3">
        <f>PMT(Annual_Rate/Payments___Year,Years*Payments___Year,SUM($B$7:B10))</f>
        <v>-145297.82298009444</v>
      </c>
      <c r="F10" s="7">
        <f t="shared" si="1"/>
        <v>88798.86</v>
      </c>
      <c r="G10" s="3">
        <f t="shared" si="3"/>
        <v>-56498.962980094439</v>
      </c>
      <c r="H10" s="2">
        <v>1932845.5628168983</v>
      </c>
      <c r="I10" s="7">
        <f t="shared" si="4"/>
        <v>442523.94218310202</v>
      </c>
      <c r="J10" s="7">
        <f t="shared" si="2"/>
        <v>350520.41043434321</v>
      </c>
    </row>
    <row r="11" spans="1:10" x14ac:dyDescent="0.3">
      <c r="A11" s="1">
        <v>5</v>
      </c>
      <c r="B11" s="2">
        <v>500000</v>
      </c>
      <c r="C11" s="2">
        <f t="shared" si="5"/>
        <v>2875369.5050000004</v>
      </c>
      <c r="D11" s="2">
        <f t="shared" si="0"/>
        <v>3076645.3703500004</v>
      </c>
      <c r="E11" s="3">
        <f>PMT(Annual_Rate/Payments___Year,Years*Payments___Year,SUM($B$7:B11))</f>
        <v>-181622.27872511806</v>
      </c>
      <c r="F11" s="7">
        <f t="shared" si="1"/>
        <v>115014.78020000002</v>
      </c>
      <c r="G11" s="3">
        <f t="shared" si="3"/>
        <v>-66607.498525118033</v>
      </c>
      <c r="H11" s="2">
        <v>2397194.017860794</v>
      </c>
      <c r="I11" s="7">
        <f t="shared" si="4"/>
        <v>679451.35248920647</v>
      </c>
      <c r="J11" s="7">
        <f t="shared" si="2"/>
        <v>507725.57621245563</v>
      </c>
    </row>
    <row r="12" spans="1:10" x14ac:dyDescent="0.3">
      <c r="A12" s="1">
        <v>6</v>
      </c>
      <c r="B12" s="2">
        <v>0</v>
      </c>
      <c r="C12" s="2">
        <f t="shared" si="5"/>
        <v>3076645.3703500004</v>
      </c>
      <c r="D12" s="2">
        <f t="shared" si="0"/>
        <v>3292010.5462745009</v>
      </c>
      <c r="E12" s="3">
        <f>PMT(Annual_Rate/Payments___Year,Years*Payments___Year,SUM($B$7:B12))</f>
        <v>-181622.27872511806</v>
      </c>
      <c r="F12" s="7">
        <f t="shared" si="1"/>
        <v>123065.81481400003</v>
      </c>
      <c r="G12" s="3">
        <f t="shared" si="3"/>
        <v>-58556.46391111803</v>
      </c>
      <c r="H12" s="2">
        <v>2359403.3802073235</v>
      </c>
      <c r="I12" s="7">
        <f t="shared" si="4"/>
        <v>932607.16606717743</v>
      </c>
      <c r="J12" s="7">
        <f t="shared" si="2"/>
        <v>657451.25180863228</v>
      </c>
    </row>
    <row r="13" spans="1:10" x14ac:dyDescent="0.3">
      <c r="A13" s="1">
        <v>7</v>
      </c>
      <c r="B13" s="2">
        <v>0</v>
      </c>
      <c r="C13" s="2">
        <f t="shared" si="5"/>
        <v>3292010.5462745009</v>
      </c>
      <c r="D13" s="2">
        <f t="shared" si="0"/>
        <v>3522451.2845137161</v>
      </c>
      <c r="E13" s="3">
        <f>PMT(Annual_Rate/Payments___Year,Years*Payments___Year,SUM($B$7:B13))</f>
        <v>-181622.27872511806</v>
      </c>
      <c r="F13" s="7">
        <f t="shared" si="1"/>
        <v>131680.42185098003</v>
      </c>
      <c r="G13" s="3">
        <f t="shared" si="3"/>
        <v>-49941.85687413803</v>
      </c>
      <c r="H13" s="2">
        <v>2319345.3042946449</v>
      </c>
      <c r="I13" s="7">
        <f t="shared" si="4"/>
        <v>1203105.9802190713</v>
      </c>
      <c r="J13" s="7">
        <f t="shared" si="2"/>
        <v>800134.19058626681</v>
      </c>
    </row>
    <row r="14" spans="1:10" x14ac:dyDescent="0.3">
      <c r="A14" s="1">
        <v>8</v>
      </c>
      <c r="B14" s="2">
        <v>0</v>
      </c>
      <c r="C14" s="2">
        <f t="shared" si="5"/>
        <v>3522451.2845137161</v>
      </c>
      <c r="D14" s="2">
        <f t="shared" si="0"/>
        <v>3769022.8744296767</v>
      </c>
      <c r="E14" s="3">
        <f>PMT(Annual_Rate/Payments___Year,Years*Payments___Year,SUM($B$7:B14))</f>
        <v>-181622.27872511806</v>
      </c>
      <c r="F14" s="7">
        <f t="shared" si="1"/>
        <v>140898.05138054866</v>
      </c>
      <c r="G14" s="3">
        <f t="shared" si="3"/>
        <v>-40724.227344569401</v>
      </c>
      <c r="H14" s="2">
        <v>2276883.7438272061</v>
      </c>
      <c r="I14" s="7">
        <f t="shared" si="4"/>
        <v>1492139.1306024706</v>
      </c>
      <c r="J14" s="7">
        <f t="shared" si="2"/>
        <v>936186.55030322738</v>
      </c>
    </row>
    <row r="15" spans="1:10" x14ac:dyDescent="0.3">
      <c r="A15" s="1">
        <v>9</v>
      </c>
      <c r="B15" s="2">
        <v>0</v>
      </c>
      <c r="C15" s="2">
        <f t="shared" si="5"/>
        <v>3769022.8744296767</v>
      </c>
      <c r="D15" s="2">
        <f t="shared" si="0"/>
        <v>4032854.4756397544</v>
      </c>
      <c r="E15" s="3">
        <f>PMT(Annual_Rate/Payments___Year,Years*Payments___Year,SUM($B$7:B15))</f>
        <v>-181622.27872511806</v>
      </c>
      <c r="F15" s="7">
        <f t="shared" si="1"/>
        <v>150760.91497718706</v>
      </c>
      <c r="G15" s="3">
        <f t="shared" si="3"/>
        <v>-30861.363747930998</v>
      </c>
      <c r="H15" s="2">
        <v>2231874.4897317197</v>
      </c>
      <c r="I15" s="7">
        <f t="shared" si="4"/>
        <v>1800979.9859080347</v>
      </c>
      <c r="J15" s="7">
        <f t="shared" si="2"/>
        <v>1065997.2865072917</v>
      </c>
    </row>
    <row r="16" spans="1:10" x14ac:dyDescent="0.3">
      <c r="A16" s="1">
        <v>10</v>
      </c>
      <c r="B16" s="2">
        <v>0</v>
      </c>
      <c r="C16" s="2">
        <f t="shared" si="5"/>
        <v>4032854.4756397544</v>
      </c>
      <c r="D16" s="2">
        <f t="shared" si="0"/>
        <v>4315154.2889345372</v>
      </c>
      <c r="E16" s="3">
        <f>PMT(Annual_Rate/Payments___Year,Years*Payments___Year,SUM($B$7:B16))</f>
        <v>-181622.27872511806</v>
      </c>
      <c r="F16" s="7">
        <f t="shared" si="1"/>
        <v>161314.17902559019</v>
      </c>
      <c r="G16" s="3">
        <f t="shared" si="3"/>
        <v>-20308.099699527869</v>
      </c>
      <c r="H16" s="2">
        <v>2184164.6803905051</v>
      </c>
      <c r="I16" s="7">
        <f t="shared" si="4"/>
        <v>2130989.6085440321</v>
      </c>
      <c r="J16" s="7">
        <f t="shared" si="2"/>
        <v>1189933.4670713791</v>
      </c>
    </row>
    <row r="17" spans="1:10" x14ac:dyDescent="0.3">
      <c r="A17" s="1">
        <v>11</v>
      </c>
      <c r="B17" s="2">
        <v>0</v>
      </c>
      <c r="C17" s="2">
        <f t="shared" si="5"/>
        <v>4315154.2889345372</v>
      </c>
      <c r="D17" s="2">
        <f t="shared" si="0"/>
        <v>4617215.0891599553</v>
      </c>
      <c r="E17" s="3">
        <f>PMT(Annual_Rate/Payments___Year,Years*Payments___Year,SUM($B$7:B17))</f>
        <v>-181622.27872511806</v>
      </c>
      <c r="F17" s="7">
        <f t="shared" si="1"/>
        <v>172606.17155738149</v>
      </c>
      <c r="G17" s="3">
        <f t="shared" si="3"/>
        <v>-9016.107167736569</v>
      </c>
      <c r="H17" s="2">
        <v>2133592.2824888173</v>
      </c>
      <c r="I17" s="7">
        <f t="shared" si="4"/>
        <v>2483622.8066711379</v>
      </c>
      <c r="J17" s="7">
        <f t="shared" si="2"/>
        <v>1308341.5123324799</v>
      </c>
    </row>
    <row r="18" spans="1:10" x14ac:dyDescent="0.3">
      <c r="A18" s="1">
        <v>12</v>
      </c>
      <c r="B18" s="2">
        <v>0</v>
      </c>
      <c r="C18" s="2">
        <f t="shared" si="5"/>
        <v>4617215.0891599553</v>
      </c>
      <c r="D18" s="2">
        <f t="shared" si="0"/>
        <v>4940420.1454011528</v>
      </c>
      <c r="E18" s="3">
        <f>PMT(Annual_Rate/Payments___Year,Years*Payments___Year,SUM($B$7:B18))</f>
        <v>-181622.27872511806</v>
      </c>
      <c r="F18" s="7">
        <f t="shared" si="1"/>
        <v>184688.6035663982</v>
      </c>
      <c r="G18" s="3">
        <f t="shared" si="3"/>
        <v>3066.3248412801477</v>
      </c>
      <c r="H18" s="2">
        <v>2079985.5407130281</v>
      </c>
      <c r="I18" s="7">
        <f t="shared" si="4"/>
        <v>2860434.6046881247</v>
      </c>
      <c r="J18" s="7">
        <f t="shared" si="2"/>
        <v>1421548.3650454863</v>
      </c>
    </row>
    <row r="19" spans="1:10" x14ac:dyDescent="0.3">
      <c r="A19" s="1">
        <v>13</v>
      </c>
      <c r="B19" s="2">
        <v>0</v>
      </c>
      <c r="C19" s="2">
        <f t="shared" si="5"/>
        <v>4940420.1454011528</v>
      </c>
      <c r="D19" s="2">
        <f t="shared" si="0"/>
        <v>5286249.5555792339</v>
      </c>
      <c r="E19" s="3">
        <f>PMT(Annual_Rate/Payments___Year,Years*Payments___Year,SUM($B$7:B19))</f>
        <v>-181622.27872511806</v>
      </c>
      <c r="F19" s="7">
        <f t="shared" si="1"/>
        <v>197616.80581604611</v>
      </c>
      <c r="G19" s="3">
        <f t="shared" si="3"/>
        <v>15994.527090928052</v>
      </c>
      <c r="H19" s="2">
        <v>2023162.3944306921</v>
      </c>
      <c r="I19" s="7">
        <f t="shared" si="4"/>
        <v>3263087.1611485416</v>
      </c>
      <c r="J19" s="7">
        <f t="shared" si="2"/>
        <v>1529862.5941247847</v>
      </c>
    </row>
    <row r="20" spans="1:10" x14ac:dyDescent="0.3">
      <c r="A20" s="1">
        <v>14</v>
      </c>
      <c r="B20" s="2">
        <v>0</v>
      </c>
      <c r="C20" s="2">
        <f t="shared" si="5"/>
        <v>5286249.5555792339</v>
      </c>
      <c r="D20" s="2">
        <f t="shared" si="0"/>
        <v>5656287.0244697807</v>
      </c>
      <c r="E20" s="3">
        <f>PMT(Annual_Rate/Payments___Year,Years*Payments___Year,SUM($B$7:B20))</f>
        <v>-181622.27872511806</v>
      </c>
      <c r="F20" s="7">
        <f t="shared" si="1"/>
        <v>211449.98222316935</v>
      </c>
      <c r="G20" s="3">
        <f t="shared" si="3"/>
        <v>29827.703498051298</v>
      </c>
      <c r="H20" s="2">
        <v>1962929.8593714153</v>
      </c>
      <c r="I20" s="7">
        <f t="shared" si="4"/>
        <v>3693357.1650983654</v>
      </c>
      <c r="J20" s="7">
        <f t="shared" si="2"/>
        <v>1633575.4359215817</v>
      </c>
    </row>
    <row r="21" spans="1:10" x14ac:dyDescent="0.3">
      <c r="A21" s="1">
        <v>15</v>
      </c>
      <c r="B21" s="2">
        <v>0</v>
      </c>
      <c r="C21" s="2">
        <f t="shared" si="5"/>
        <v>5656287.0244697807</v>
      </c>
      <c r="D21" s="2">
        <f t="shared" si="0"/>
        <v>6052227.1161826653</v>
      </c>
      <c r="E21" s="3">
        <f>PMT(Annual_Rate/Payments___Year,Years*Payments___Year,SUM($B$7:B21))</f>
        <v>-181622.27872511806</v>
      </c>
      <c r="F21" s="7">
        <f t="shared" si="1"/>
        <v>226251.48097879122</v>
      </c>
      <c r="G21" s="3">
        <f t="shared" si="3"/>
        <v>44629.202253673167</v>
      </c>
      <c r="H21" s="2">
        <v>1899083.3722085818</v>
      </c>
      <c r="I21" s="7">
        <f t="shared" si="4"/>
        <v>4153143.7439740836</v>
      </c>
      <c r="J21" s="7">
        <f t="shared" si="2"/>
        <v>1732961.7765727753</v>
      </c>
    </row>
    <row r="22" spans="1:10" x14ac:dyDescent="0.3">
      <c r="A22" s="1">
        <v>16</v>
      </c>
      <c r="B22" s="2">
        <v>0</v>
      </c>
      <c r="C22" s="2">
        <f t="shared" si="5"/>
        <v>6052227.1161826653</v>
      </c>
      <c r="D22" s="2">
        <f t="shared" si="0"/>
        <v>6475883.0143154524</v>
      </c>
      <c r="E22" s="3">
        <f>PMT(Annual_Rate/Payments___Year,Years*Payments___Year,SUM($B$7:B22))</f>
        <v>-181622.27872511806</v>
      </c>
      <c r="F22" s="7">
        <f t="shared" si="1"/>
        <v>242089.08464730662</v>
      </c>
      <c r="G22" s="3">
        <f t="shared" si="3"/>
        <v>60466.805922188563</v>
      </c>
      <c r="H22" s="2">
        <v>1831406.0958159787</v>
      </c>
      <c r="I22" s="7">
        <f t="shared" si="4"/>
        <v>4644476.9184994735</v>
      </c>
      <c r="J22" s="7">
        <f t="shared" si="2"/>
        <v>1828281.0787570742</v>
      </c>
    </row>
    <row r="23" spans="1:10" x14ac:dyDescent="0.3">
      <c r="A23" s="1">
        <v>17</v>
      </c>
      <c r="B23" s="2">
        <v>0</v>
      </c>
      <c r="C23" s="2">
        <f t="shared" si="5"/>
        <v>6475883.0143154524</v>
      </c>
      <c r="D23" s="2">
        <f t="shared" si="0"/>
        <v>6929194.8253175346</v>
      </c>
      <c r="E23" s="3">
        <f>PMT(Annual_Rate/Payments___Year,Years*Payments___Year,SUM($B$7:B23))</f>
        <v>-181622.27872511806</v>
      </c>
      <c r="F23" s="7">
        <f t="shared" si="1"/>
        <v>259035.3205726181</v>
      </c>
      <c r="G23" s="3">
        <f t="shared" si="3"/>
        <v>77413.041847500048</v>
      </c>
      <c r="H23" s="2">
        <v>1759668.1828398192</v>
      </c>
      <c r="I23" s="7">
        <f t="shared" si="4"/>
        <v>5169526.6424777154</v>
      </c>
      <c r="J23" s="7">
        <f t="shared" si="2"/>
        <v>1919778.2560052138</v>
      </c>
    </row>
    <row r="24" spans="1:10" x14ac:dyDescent="0.3">
      <c r="A24" s="1">
        <v>18</v>
      </c>
      <c r="B24" s="2">
        <v>0</v>
      </c>
      <c r="C24" s="2">
        <f t="shared" si="5"/>
        <v>6929194.8253175346</v>
      </c>
      <c r="D24" s="2">
        <f t="shared" si="0"/>
        <v>7414238.4630897623</v>
      </c>
      <c r="E24" s="3">
        <f>PMT(Annual_Rate/Payments___Year,Years*Payments___Year,SUM($B$7:B24))</f>
        <v>-181622.27872511806</v>
      </c>
      <c r="F24" s="7">
        <f t="shared" si="1"/>
        <v>277167.79301270138</v>
      </c>
      <c r="G24" s="3">
        <f t="shared" si="3"/>
        <v>95545.514287583326</v>
      </c>
      <c r="H24" s="2">
        <v>1683625.9950850904</v>
      </c>
      <c r="I24" s="7">
        <f t="shared" si="4"/>
        <v>5730612.4680046719</v>
      </c>
      <c r="J24" s="7">
        <f t="shared" si="2"/>
        <v>2007684.4975330429</v>
      </c>
    </row>
    <row r="25" spans="1:10" x14ac:dyDescent="0.3">
      <c r="A25" s="1">
        <v>19</v>
      </c>
      <c r="B25" s="2">
        <v>0</v>
      </c>
      <c r="C25" s="2">
        <f t="shared" si="5"/>
        <v>7414238.4630897623</v>
      </c>
      <c r="D25" s="2">
        <f t="shared" si="0"/>
        <v>7933235.1555060465</v>
      </c>
      <c r="E25" s="3">
        <f>PMT(Annual_Rate/Payments___Year,Years*Payments___Year,SUM($B$7:B25))</f>
        <v>-181622.27872511806</v>
      </c>
      <c r="F25" s="7">
        <f t="shared" si="1"/>
        <v>296569.53852359048</v>
      </c>
      <c r="G25" s="3">
        <f t="shared" si="3"/>
        <v>114947.25979847243</v>
      </c>
      <c r="H25" s="2">
        <v>1603021.2760650779</v>
      </c>
      <c r="I25" s="7">
        <f t="shared" si="4"/>
        <v>6330213.8794409689</v>
      </c>
      <c r="J25" s="7">
        <f t="shared" si="2"/>
        <v>2092218.0463981668</v>
      </c>
    </row>
    <row r="26" spans="1:10" x14ac:dyDescent="0.3">
      <c r="A26" s="1">
        <v>20</v>
      </c>
      <c r="B26" s="2">
        <v>0</v>
      </c>
      <c r="C26" s="2">
        <f t="shared" si="5"/>
        <v>7933235.1555060465</v>
      </c>
      <c r="D26" s="2">
        <f t="shared" si="0"/>
        <v>8488561.6163914707</v>
      </c>
      <c r="E26" s="3">
        <f>PMT(Annual_Rate/Payments___Year,Years*Payments___Year,SUM($B$7:B26))</f>
        <v>-181622.27872511806</v>
      </c>
      <c r="F26" s="7">
        <f t="shared" si="1"/>
        <v>317329.40622024186</v>
      </c>
      <c r="G26" s="3">
        <f t="shared" si="3"/>
        <v>135707.1274951238</v>
      </c>
      <c r="H26" s="2">
        <v>1517580.2739038644</v>
      </c>
      <c r="I26" s="7">
        <f t="shared" si="4"/>
        <v>6970981.3424876062</v>
      </c>
      <c r="J26" s="7">
        <f t="shared" si="2"/>
        <v>2173584.9336223369</v>
      </c>
    </row>
  </sheetData>
  <pageMargins left="0.7" right="0.7" top="0.75" bottom="0.75" header="0.3" footer="0.3"/>
  <headerFooter>
    <oddHeader>&amp;C&amp;"Calibri"&amp;12&amp;K000000 OFFICIAL&amp;1#_x000D_</oddHeader>
    <oddFooter xml:space="preserve">&amp;C_x000D_&amp;1#&amp;"Calibri"&amp;12&amp;K000000  OFFICIAL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527A-3BE5-4BA5-A375-284826528062}">
  <dimension ref="A1:P43"/>
  <sheetViews>
    <sheetView zoomScale="75" zoomScaleNormal="75" workbookViewId="0">
      <selection activeCell="P9" sqref="P9:P41"/>
    </sheetView>
  </sheetViews>
  <sheetFormatPr defaultRowHeight="14.4" x14ac:dyDescent="0.3"/>
  <cols>
    <col min="1" max="1" width="16.88671875" bestFit="1" customWidth="1"/>
    <col min="2" max="4" width="11.77734375" bestFit="1" customWidth="1"/>
    <col min="5" max="5" width="12.88671875" bestFit="1" customWidth="1"/>
    <col min="6" max="6" width="10.77734375" bestFit="1" customWidth="1"/>
    <col min="10" max="10" width="3.44140625" bestFit="1" customWidth="1"/>
    <col min="11" max="15" width="9.5546875" bestFit="1" customWidth="1"/>
    <col min="16" max="16" width="11.21875" bestFit="1" customWidth="1"/>
  </cols>
  <sheetData>
    <row r="1" spans="1:16" x14ac:dyDescent="0.3">
      <c r="A1" t="s">
        <v>5</v>
      </c>
      <c r="B1" s="6">
        <v>0.06</v>
      </c>
    </row>
    <row r="2" spans="1:16" x14ac:dyDescent="0.3">
      <c r="A2" t="s">
        <v>13</v>
      </c>
      <c r="B2">
        <v>1</v>
      </c>
    </row>
    <row r="3" spans="1:16" x14ac:dyDescent="0.3">
      <c r="A3" t="s">
        <v>6</v>
      </c>
      <c r="B3">
        <v>30</v>
      </c>
      <c r="F3" s="3"/>
    </row>
    <row r="4" spans="1:16" x14ac:dyDescent="0.3">
      <c r="A4" t="s">
        <v>7</v>
      </c>
      <c r="B4" s="2">
        <v>500000</v>
      </c>
    </row>
    <row r="8" spans="1:16" x14ac:dyDescent="0.3">
      <c r="A8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14</v>
      </c>
      <c r="K8">
        <v>1</v>
      </c>
      <c r="L8">
        <v>2</v>
      </c>
      <c r="M8">
        <v>3</v>
      </c>
      <c r="N8">
        <v>4</v>
      </c>
      <c r="O8">
        <v>5</v>
      </c>
    </row>
    <row r="9" spans="1:16" x14ac:dyDescent="0.3">
      <c r="A9">
        <v>1</v>
      </c>
      <c r="B9" s="4">
        <f t="shared" ref="B9:B38" si="0">PMT(Annual_Rate/Payments___Year,Years*Payments___Year,Amount)</f>
        <v>-36324.45574502361</v>
      </c>
      <c r="C9" s="4">
        <f t="shared" ref="C9:C38" si="1">PPMT(Annual_Rate/Payments___Year,A9,Years*Payments___Year,Amount)</f>
        <v>-6324.4557450236143</v>
      </c>
      <c r="D9" s="4">
        <f t="shared" ref="D9:D38" si="2">IPMT(Annual_Rate/Payments___Year,A9,Years*Payments___Year,Amount)</f>
        <v>-30000.000000000004</v>
      </c>
      <c r="E9" s="4">
        <f>Amount+C9</f>
        <v>493675.54425497638</v>
      </c>
      <c r="F9" s="1">
        <f>B9/52</f>
        <v>-698.54722586583864</v>
      </c>
      <c r="J9" s="1">
        <v>1</v>
      </c>
      <c r="K9" s="2">
        <f>E9</f>
        <v>493675.54425497638</v>
      </c>
      <c r="L9" s="2"/>
      <c r="M9" s="2"/>
      <c r="N9" s="2"/>
      <c r="O9" s="2"/>
      <c r="P9" s="2">
        <f>SUM(K9:O9)</f>
        <v>493675.54425497638</v>
      </c>
    </row>
    <row r="10" spans="1:16" x14ac:dyDescent="0.3">
      <c r="A10">
        <v>2</v>
      </c>
      <c r="B10" s="4">
        <f t="shared" si="0"/>
        <v>-36324.45574502361</v>
      </c>
      <c r="C10" s="4">
        <f t="shared" si="1"/>
        <v>-6703.9230897250318</v>
      </c>
      <c r="D10" s="4">
        <f t="shared" si="2"/>
        <v>-29620.532655298583</v>
      </c>
      <c r="E10" s="4">
        <f>E9+C10</f>
        <v>486971.62116525136</v>
      </c>
      <c r="F10" s="1">
        <f>B10/52</f>
        <v>-698.54722586583864</v>
      </c>
      <c r="J10" s="1">
        <v>2</v>
      </c>
      <c r="K10" s="2">
        <f t="shared" ref="K10:K38" si="3">E10</f>
        <v>486971.62116525136</v>
      </c>
      <c r="L10" s="2">
        <f>E9</f>
        <v>493675.54425497638</v>
      </c>
      <c r="M10" s="2"/>
      <c r="N10" s="2"/>
      <c r="O10" s="2"/>
      <c r="P10" s="2">
        <f>SUM(K10:O10)</f>
        <v>980647.16542022768</v>
      </c>
    </row>
    <row r="11" spans="1:16" x14ac:dyDescent="0.3">
      <c r="A11">
        <v>3</v>
      </c>
      <c r="B11" s="4">
        <f t="shared" si="0"/>
        <v>-36324.45574502361</v>
      </c>
      <c r="C11" s="4">
        <f t="shared" si="1"/>
        <v>-7106.1584751085329</v>
      </c>
      <c r="D11" s="4">
        <f t="shared" si="2"/>
        <v>-29218.297269915078</v>
      </c>
      <c r="E11" s="4">
        <f t="shared" ref="E11:E38" si="4">E10+C11</f>
        <v>479865.4626901428</v>
      </c>
      <c r="F11" s="1">
        <f t="shared" ref="F11:F38" si="5">B11/52</f>
        <v>-698.54722586583864</v>
      </c>
      <c r="J11" s="1">
        <v>3</v>
      </c>
      <c r="K11" s="2">
        <f t="shared" si="3"/>
        <v>479865.4626901428</v>
      </c>
      <c r="L11" s="2">
        <f t="shared" ref="L11:L42" si="6">E10</f>
        <v>486971.62116525136</v>
      </c>
      <c r="M11" s="2">
        <f>E9</f>
        <v>493675.54425497638</v>
      </c>
      <c r="N11" s="2"/>
      <c r="O11" s="2"/>
      <c r="P11" s="2">
        <f>SUM(K11:O11)</f>
        <v>1460512.6281103706</v>
      </c>
    </row>
    <row r="12" spans="1:16" x14ac:dyDescent="0.3">
      <c r="A12">
        <v>4</v>
      </c>
      <c r="B12" s="4">
        <f t="shared" si="0"/>
        <v>-36324.45574502361</v>
      </c>
      <c r="C12" s="4">
        <f t="shared" si="1"/>
        <v>-7532.5279836150457</v>
      </c>
      <c r="D12" s="4">
        <f t="shared" si="2"/>
        <v>-28791.927761408566</v>
      </c>
      <c r="E12" s="4">
        <f t="shared" si="4"/>
        <v>472332.93470652774</v>
      </c>
      <c r="F12" s="1">
        <f t="shared" si="5"/>
        <v>-698.54722586583864</v>
      </c>
      <c r="J12" s="1">
        <v>4</v>
      </c>
      <c r="K12" s="2">
        <f t="shared" si="3"/>
        <v>472332.93470652774</v>
      </c>
      <c r="L12" s="2">
        <f t="shared" si="6"/>
        <v>479865.4626901428</v>
      </c>
      <c r="M12" s="2">
        <f t="shared" ref="M12:M42" si="7">E10</f>
        <v>486971.62116525136</v>
      </c>
      <c r="N12" s="2">
        <f>E9</f>
        <v>493675.54425497638</v>
      </c>
      <c r="O12" s="2"/>
      <c r="P12" s="2">
        <f>SUM(K12:O12)</f>
        <v>1932845.5628168983</v>
      </c>
    </row>
    <row r="13" spans="1:16" x14ac:dyDescent="0.3">
      <c r="A13">
        <v>5</v>
      </c>
      <c r="B13" s="4">
        <f t="shared" si="0"/>
        <v>-36324.45574502361</v>
      </c>
      <c r="C13" s="4">
        <f t="shared" si="1"/>
        <v>-7984.4796626319485</v>
      </c>
      <c r="D13" s="4">
        <f t="shared" si="2"/>
        <v>-28339.976082391666</v>
      </c>
      <c r="E13" s="4">
        <f t="shared" si="4"/>
        <v>464348.45504389581</v>
      </c>
      <c r="F13" s="1">
        <f t="shared" si="5"/>
        <v>-698.54722586583864</v>
      </c>
      <c r="J13" s="1">
        <v>5</v>
      </c>
      <c r="K13" s="2">
        <f t="shared" si="3"/>
        <v>464348.45504389581</v>
      </c>
      <c r="L13" s="2">
        <f t="shared" si="6"/>
        <v>472332.93470652774</v>
      </c>
      <c r="M13" s="2">
        <f t="shared" si="7"/>
        <v>479865.4626901428</v>
      </c>
      <c r="N13" s="2">
        <f t="shared" ref="N13:N42" si="8">E10</f>
        <v>486971.62116525136</v>
      </c>
      <c r="O13" s="2">
        <f>E9</f>
        <v>493675.54425497638</v>
      </c>
      <c r="P13" s="2">
        <f>SUM(K13:O13)</f>
        <v>2397194.017860794</v>
      </c>
    </row>
    <row r="14" spans="1:16" x14ac:dyDescent="0.3">
      <c r="A14">
        <v>6</v>
      </c>
      <c r="B14" s="4">
        <f t="shared" si="0"/>
        <v>-36324.45574502361</v>
      </c>
      <c r="C14" s="4">
        <f t="shared" si="1"/>
        <v>-8463.5484423898633</v>
      </c>
      <c r="D14" s="4">
        <f t="shared" si="2"/>
        <v>-27860.90730263375</v>
      </c>
      <c r="E14" s="4">
        <f t="shared" si="4"/>
        <v>455884.90660150594</v>
      </c>
      <c r="F14" s="1">
        <f t="shared" si="5"/>
        <v>-698.54722586583864</v>
      </c>
      <c r="J14" s="1">
        <v>6</v>
      </c>
      <c r="K14" s="2">
        <f t="shared" si="3"/>
        <v>455884.90660150594</v>
      </c>
      <c r="L14" s="2">
        <f t="shared" si="6"/>
        <v>464348.45504389581</v>
      </c>
      <c r="M14" s="2">
        <f t="shared" si="7"/>
        <v>472332.93470652774</v>
      </c>
      <c r="N14" s="2">
        <f t="shared" si="8"/>
        <v>479865.4626901428</v>
      </c>
      <c r="O14" s="2">
        <f t="shared" ref="O14:O42" si="9">E10</f>
        <v>486971.62116525136</v>
      </c>
      <c r="P14" s="2">
        <f>SUM(K14:O14)</f>
        <v>2359403.3802073235</v>
      </c>
    </row>
    <row r="15" spans="1:16" x14ac:dyDescent="0.3">
      <c r="A15">
        <v>7</v>
      </c>
      <c r="B15" s="4">
        <f t="shared" si="0"/>
        <v>-36324.45574502361</v>
      </c>
      <c r="C15" s="4">
        <f t="shared" si="1"/>
        <v>-8971.3613489332565</v>
      </c>
      <c r="D15" s="4">
        <f t="shared" si="2"/>
        <v>-27353.094396090357</v>
      </c>
      <c r="E15" s="4">
        <f t="shared" si="4"/>
        <v>446913.54525257269</v>
      </c>
      <c r="F15" s="1">
        <f t="shared" si="5"/>
        <v>-698.54722586583864</v>
      </c>
      <c r="J15" s="1">
        <v>7</v>
      </c>
      <c r="K15" s="2">
        <f t="shared" si="3"/>
        <v>446913.54525257269</v>
      </c>
      <c r="L15" s="2">
        <f t="shared" si="6"/>
        <v>455884.90660150594</v>
      </c>
      <c r="M15" s="2">
        <f t="shared" si="7"/>
        <v>464348.45504389581</v>
      </c>
      <c r="N15" s="2">
        <f t="shared" si="8"/>
        <v>472332.93470652774</v>
      </c>
      <c r="O15" s="2">
        <f t="shared" si="9"/>
        <v>479865.4626901428</v>
      </c>
      <c r="P15" s="2">
        <f>SUM(K15:O15)</f>
        <v>2319345.3042946449</v>
      </c>
    </row>
    <row r="16" spans="1:16" x14ac:dyDescent="0.3">
      <c r="A16">
        <v>8</v>
      </c>
      <c r="B16" s="4">
        <f t="shared" si="0"/>
        <v>-36324.45574502361</v>
      </c>
      <c r="C16" s="4">
        <f t="shared" si="1"/>
        <v>-9509.6430298692521</v>
      </c>
      <c r="D16" s="4">
        <f t="shared" si="2"/>
        <v>-26814.812715154363</v>
      </c>
      <c r="E16" s="4">
        <f t="shared" si="4"/>
        <v>437403.90222270344</v>
      </c>
      <c r="F16" s="1">
        <f t="shared" si="5"/>
        <v>-698.54722586583864</v>
      </c>
      <c r="J16" s="1">
        <v>8</v>
      </c>
      <c r="K16" s="2">
        <f t="shared" si="3"/>
        <v>437403.90222270344</v>
      </c>
      <c r="L16" s="2">
        <f t="shared" si="6"/>
        <v>446913.54525257269</v>
      </c>
      <c r="M16" s="2">
        <f t="shared" si="7"/>
        <v>455884.90660150594</v>
      </c>
      <c r="N16" s="2">
        <f t="shared" si="8"/>
        <v>464348.45504389581</v>
      </c>
      <c r="O16" s="2">
        <f t="shared" si="9"/>
        <v>472332.93470652774</v>
      </c>
      <c r="P16" s="2">
        <f>SUM(K16:O16)</f>
        <v>2276883.7438272061</v>
      </c>
    </row>
    <row r="17" spans="1:16" x14ac:dyDescent="0.3">
      <c r="A17">
        <v>9</v>
      </c>
      <c r="B17" s="4">
        <f t="shared" si="0"/>
        <v>-36324.45574502361</v>
      </c>
      <c r="C17" s="4">
        <f t="shared" si="1"/>
        <v>-10080.221611661404</v>
      </c>
      <c r="D17" s="4">
        <f t="shared" si="2"/>
        <v>-26244.23413336221</v>
      </c>
      <c r="E17" s="4">
        <f t="shared" si="4"/>
        <v>427323.68061104201</v>
      </c>
      <c r="F17" s="1">
        <f t="shared" si="5"/>
        <v>-698.54722586583864</v>
      </c>
      <c r="J17" s="1">
        <v>9</v>
      </c>
      <c r="K17" s="2">
        <f t="shared" si="3"/>
        <v>427323.68061104201</v>
      </c>
      <c r="L17" s="2">
        <f t="shared" si="6"/>
        <v>437403.90222270344</v>
      </c>
      <c r="M17" s="2">
        <f t="shared" si="7"/>
        <v>446913.54525257269</v>
      </c>
      <c r="N17" s="2">
        <f t="shared" si="8"/>
        <v>455884.90660150594</v>
      </c>
      <c r="O17" s="2">
        <f t="shared" si="9"/>
        <v>464348.45504389581</v>
      </c>
      <c r="P17" s="2">
        <f>SUM(K17:O17)</f>
        <v>2231874.4897317197</v>
      </c>
    </row>
    <row r="18" spans="1:16" x14ac:dyDescent="0.3">
      <c r="A18">
        <v>10</v>
      </c>
      <c r="B18" s="4">
        <f t="shared" si="0"/>
        <v>-36324.45574502361</v>
      </c>
      <c r="C18" s="4">
        <f t="shared" si="1"/>
        <v>-10685.034908361091</v>
      </c>
      <c r="D18" s="4">
        <f t="shared" si="2"/>
        <v>-25639.420836662524</v>
      </c>
      <c r="E18" s="4">
        <f t="shared" si="4"/>
        <v>416638.64570268092</v>
      </c>
      <c r="F18" s="1">
        <f t="shared" si="5"/>
        <v>-698.54722586583864</v>
      </c>
      <c r="J18" s="1">
        <v>10</v>
      </c>
      <c r="K18" s="2">
        <f t="shared" si="3"/>
        <v>416638.64570268092</v>
      </c>
      <c r="L18" s="2">
        <f t="shared" si="6"/>
        <v>427323.68061104201</v>
      </c>
      <c r="M18" s="2">
        <f t="shared" si="7"/>
        <v>437403.90222270344</v>
      </c>
      <c r="N18" s="2">
        <f t="shared" si="8"/>
        <v>446913.54525257269</v>
      </c>
      <c r="O18" s="2">
        <f t="shared" si="9"/>
        <v>455884.90660150594</v>
      </c>
      <c r="P18" s="2">
        <f>SUM(K18:O18)</f>
        <v>2184164.6803905051</v>
      </c>
    </row>
    <row r="19" spans="1:16" x14ac:dyDescent="0.3">
      <c r="A19">
        <v>11</v>
      </c>
      <c r="B19" s="4">
        <f t="shared" si="0"/>
        <v>-36324.45574502361</v>
      </c>
      <c r="C19" s="4">
        <f t="shared" si="1"/>
        <v>-11326.137002862755</v>
      </c>
      <c r="D19" s="4">
        <f t="shared" si="2"/>
        <v>-24998.318742160856</v>
      </c>
      <c r="E19" s="4">
        <f t="shared" si="4"/>
        <v>405312.50869981817</v>
      </c>
      <c r="F19" s="1">
        <f t="shared" si="5"/>
        <v>-698.54722586583864</v>
      </c>
      <c r="J19" s="1">
        <v>11</v>
      </c>
      <c r="K19" s="2">
        <f t="shared" si="3"/>
        <v>405312.50869981817</v>
      </c>
      <c r="L19" s="2">
        <f t="shared" si="6"/>
        <v>416638.64570268092</v>
      </c>
      <c r="M19" s="2">
        <f t="shared" si="7"/>
        <v>427323.68061104201</v>
      </c>
      <c r="N19" s="2">
        <f t="shared" si="8"/>
        <v>437403.90222270344</v>
      </c>
      <c r="O19" s="2">
        <f t="shared" si="9"/>
        <v>446913.54525257269</v>
      </c>
      <c r="P19" s="2">
        <f>SUM(K19:O19)</f>
        <v>2133592.2824888173</v>
      </c>
    </row>
    <row r="20" spans="1:16" x14ac:dyDescent="0.3">
      <c r="A20">
        <v>12</v>
      </c>
      <c r="B20" s="4">
        <f t="shared" si="0"/>
        <v>-36324.45574502361</v>
      </c>
      <c r="C20" s="4">
        <f t="shared" si="1"/>
        <v>-12005.705223034522</v>
      </c>
      <c r="D20" s="4">
        <f t="shared" si="2"/>
        <v>-24318.750521989092</v>
      </c>
      <c r="E20" s="4">
        <f t="shared" si="4"/>
        <v>393306.80347678362</v>
      </c>
      <c r="F20" s="1">
        <f t="shared" si="5"/>
        <v>-698.54722586583864</v>
      </c>
      <c r="J20" s="1">
        <v>12</v>
      </c>
      <c r="K20" s="2">
        <f t="shared" si="3"/>
        <v>393306.80347678362</v>
      </c>
      <c r="L20" s="2">
        <f t="shared" si="6"/>
        <v>405312.50869981817</v>
      </c>
      <c r="M20" s="2">
        <f t="shared" si="7"/>
        <v>416638.64570268092</v>
      </c>
      <c r="N20" s="2">
        <f t="shared" si="8"/>
        <v>427323.68061104201</v>
      </c>
      <c r="O20" s="2">
        <f t="shared" si="9"/>
        <v>437403.90222270344</v>
      </c>
      <c r="P20" s="2">
        <f>SUM(K20:O20)</f>
        <v>2079985.5407130281</v>
      </c>
    </row>
    <row r="21" spans="1:16" x14ac:dyDescent="0.3">
      <c r="A21">
        <v>13</v>
      </c>
      <c r="B21" s="4">
        <f t="shared" si="0"/>
        <v>-36324.45574502361</v>
      </c>
      <c r="C21" s="4">
        <f t="shared" si="1"/>
        <v>-12726.047536416592</v>
      </c>
      <c r="D21" s="4">
        <f t="shared" si="2"/>
        <v>-23598.408208607023</v>
      </c>
      <c r="E21" s="4">
        <f t="shared" si="4"/>
        <v>380580.755940367</v>
      </c>
      <c r="F21" s="1">
        <f t="shared" si="5"/>
        <v>-698.54722586583864</v>
      </c>
      <c r="J21" s="1">
        <v>13</v>
      </c>
      <c r="K21" s="2">
        <f t="shared" si="3"/>
        <v>380580.755940367</v>
      </c>
      <c r="L21" s="2">
        <f t="shared" si="6"/>
        <v>393306.80347678362</v>
      </c>
      <c r="M21" s="2">
        <f t="shared" si="7"/>
        <v>405312.50869981817</v>
      </c>
      <c r="N21" s="2">
        <f t="shared" si="8"/>
        <v>416638.64570268092</v>
      </c>
      <c r="O21" s="2">
        <f t="shared" si="9"/>
        <v>427323.68061104201</v>
      </c>
      <c r="P21" s="2">
        <f>SUM(K21:O21)</f>
        <v>2023162.3944306921</v>
      </c>
    </row>
    <row r="22" spans="1:16" x14ac:dyDescent="0.3">
      <c r="A22">
        <v>14</v>
      </c>
      <c r="B22" s="4">
        <f t="shared" si="0"/>
        <v>-36324.45574502361</v>
      </c>
      <c r="C22" s="4">
        <f t="shared" si="1"/>
        <v>-13489.610388601586</v>
      </c>
      <c r="D22" s="4">
        <f t="shared" si="2"/>
        <v>-22834.845356422033</v>
      </c>
      <c r="E22" s="4">
        <f t="shared" si="4"/>
        <v>367091.1455517654</v>
      </c>
      <c r="F22" s="1">
        <f t="shared" si="5"/>
        <v>-698.54722586583864</v>
      </c>
      <c r="J22" s="1">
        <v>14</v>
      </c>
      <c r="K22" s="2">
        <f t="shared" si="3"/>
        <v>367091.1455517654</v>
      </c>
      <c r="L22" s="2">
        <f t="shared" si="6"/>
        <v>380580.755940367</v>
      </c>
      <c r="M22" s="2">
        <f t="shared" si="7"/>
        <v>393306.80347678362</v>
      </c>
      <c r="N22" s="2">
        <f t="shared" si="8"/>
        <v>405312.50869981817</v>
      </c>
      <c r="O22" s="2">
        <f t="shared" si="9"/>
        <v>416638.64570268092</v>
      </c>
      <c r="P22" s="2">
        <f>SUM(K22:O22)</f>
        <v>1962929.8593714153</v>
      </c>
    </row>
    <row r="23" spans="1:16" x14ac:dyDescent="0.3">
      <c r="A23">
        <v>15</v>
      </c>
      <c r="B23" s="4">
        <f t="shared" si="0"/>
        <v>-36324.45574502361</v>
      </c>
      <c r="C23" s="4">
        <f t="shared" si="1"/>
        <v>-14298.987011917683</v>
      </c>
      <c r="D23" s="4">
        <f t="shared" si="2"/>
        <v>-22025.468733105929</v>
      </c>
      <c r="E23" s="4">
        <f t="shared" si="4"/>
        <v>352792.1585398477</v>
      </c>
      <c r="F23" s="1">
        <f t="shared" si="5"/>
        <v>-698.54722586583864</v>
      </c>
      <c r="J23" s="1">
        <v>15</v>
      </c>
      <c r="K23" s="2">
        <f t="shared" si="3"/>
        <v>352792.1585398477</v>
      </c>
      <c r="L23" s="2">
        <f t="shared" si="6"/>
        <v>367091.1455517654</v>
      </c>
      <c r="M23" s="2">
        <f t="shared" si="7"/>
        <v>380580.755940367</v>
      </c>
      <c r="N23" s="2">
        <f t="shared" si="8"/>
        <v>393306.80347678362</v>
      </c>
      <c r="O23" s="2">
        <f t="shared" si="9"/>
        <v>405312.50869981817</v>
      </c>
      <c r="P23" s="2">
        <f>SUM(K23:O23)</f>
        <v>1899083.3722085818</v>
      </c>
    </row>
    <row r="24" spans="1:16" x14ac:dyDescent="0.3">
      <c r="A24">
        <v>16</v>
      </c>
      <c r="B24" s="4">
        <f t="shared" si="0"/>
        <v>-36324.45574502361</v>
      </c>
      <c r="C24" s="4">
        <f t="shared" si="1"/>
        <v>-15156.926232632744</v>
      </c>
      <c r="D24" s="4">
        <f t="shared" si="2"/>
        <v>-21167.529512390873</v>
      </c>
      <c r="E24" s="4">
        <f t="shared" si="4"/>
        <v>337635.23230721499</v>
      </c>
      <c r="F24" s="1">
        <f t="shared" si="5"/>
        <v>-698.54722586583864</v>
      </c>
      <c r="J24" s="1">
        <v>16</v>
      </c>
      <c r="K24" s="2">
        <f t="shared" si="3"/>
        <v>337635.23230721499</v>
      </c>
      <c r="L24" s="2">
        <f t="shared" si="6"/>
        <v>352792.1585398477</v>
      </c>
      <c r="M24" s="2">
        <f t="shared" si="7"/>
        <v>367091.1455517654</v>
      </c>
      <c r="N24" s="2">
        <f t="shared" si="8"/>
        <v>380580.755940367</v>
      </c>
      <c r="O24" s="2">
        <f t="shared" si="9"/>
        <v>393306.80347678362</v>
      </c>
      <c r="P24" s="2">
        <f>SUM(K24:O24)</f>
        <v>1831406.0958159787</v>
      </c>
    </row>
    <row r="25" spans="1:16" x14ac:dyDescent="0.3">
      <c r="A25">
        <v>17</v>
      </c>
      <c r="B25" s="4">
        <f t="shared" si="0"/>
        <v>-36324.45574502361</v>
      </c>
      <c r="C25" s="4">
        <f t="shared" si="1"/>
        <v>-16066.341806590708</v>
      </c>
      <c r="D25" s="4">
        <f t="shared" si="2"/>
        <v>-20258.113938432904</v>
      </c>
      <c r="E25" s="4">
        <f t="shared" si="4"/>
        <v>321568.89050062426</v>
      </c>
      <c r="F25" s="1">
        <f t="shared" si="5"/>
        <v>-698.54722586583864</v>
      </c>
      <c r="J25" s="1">
        <v>17</v>
      </c>
      <c r="K25" s="2">
        <f t="shared" si="3"/>
        <v>321568.89050062426</v>
      </c>
      <c r="L25" s="2">
        <f t="shared" si="6"/>
        <v>337635.23230721499</v>
      </c>
      <c r="M25" s="2">
        <f t="shared" si="7"/>
        <v>352792.1585398477</v>
      </c>
      <c r="N25" s="2">
        <f t="shared" si="8"/>
        <v>367091.1455517654</v>
      </c>
      <c r="O25" s="2">
        <f t="shared" si="9"/>
        <v>380580.755940367</v>
      </c>
      <c r="P25" s="2">
        <f>SUM(K25:O25)</f>
        <v>1759668.1828398192</v>
      </c>
    </row>
    <row r="26" spans="1:16" x14ac:dyDescent="0.3">
      <c r="A26">
        <v>18</v>
      </c>
      <c r="B26" s="4">
        <f t="shared" si="0"/>
        <v>-36324.45574502361</v>
      </c>
      <c r="C26" s="4">
        <f t="shared" si="1"/>
        <v>-17030.322314986151</v>
      </c>
      <c r="D26" s="4">
        <f t="shared" si="2"/>
        <v>-19294.133430037466</v>
      </c>
      <c r="E26" s="4">
        <f t="shared" si="4"/>
        <v>304538.56818563811</v>
      </c>
      <c r="F26" s="1">
        <f t="shared" si="5"/>
        <v>-698.54722586583864</v>
      </c>
      <c r="J26" s="1">
        <v>18</v>
      </c>
      <c r="K26" s="2">
        <f t="shared" si="3"/>
        <v>304538.56818563811</v>
      </c>
      <c r="L26" s="2">
        <f t="shared" si="6"/>
        <v>321568.89050062426</v>
      </c>
      <c r="M26" s="2">
        <f t="shared" si="7"/>
        <v>337635.23230721499</v>
      </c>
      <c r="N26" s="2">
        <f t="shared" si="8"/>
        <v>352792.1585398477</v>
      </c>
      <c r="O26" s="2">
        <f t="shared" si="9"/>
        <v>367091.1455517654</v>
      </c>
      <c r="P26" s="2">
        <f>SUM(K26:O26)</f>
        <v>1683625.9950850904</v>
      </c>
    </row>
    <row r="27" spans="1:16" x14ac:dyDescent="0.3">
      <c r="A27">
        <v>19</v>
      </c>
      <c r="B27" s="4">
        <f t="shared" si="0"/>
        <v>-36324.45574502361</v>
      </c>
      <c r="C27" s="4">
        <f t="shared" si="1"/>
        <v>-18052.141653885319</v>
      </c>
      <c r="D27" s="4">
        <f t="shared" si="2"/>
        <v>-18272.314091138294</v>
      </c>
      <c r="E27" s="4">
        <f t="shared" si="4"/>
        <v>286486.4265317528</v>
      </c>
      <c r="F27" s="1">
        <f t="shared" si="5"/>
        <v>-698.54722586583864</v>
      </c>
      <c r="J27" s="1">
        <v>19</v>
      </c>
      <c r="K27" s="2">
        <f t="shared" si="3"/>
        <v>286486.4265317528</v>
      </c>
      <c r="L27" s="2">
        <f t="shared" si="6"/>
        <v>304538.56818563811</v>
      </c>
      <c r="M27" s="2">
        <f t="shared" si="7"/>
        <v>321568.89050062426</v>
      </c>
      <c r="N27" s="2">
        <f t="shared" si="8"/>
        <v>337635.23230721499</v>
      </c>
      <c r="O27" s="2">
        <f t="shared" si="9"/>
        <v>352792.1585398477</v>
      </c>
      <c r="P27" s="2">
        <f>SUM(K27:O27)</f>
        <v>1603021.2760650779</v>
      </c>
    </row>
    <row r="28" spans="1:16" x14ac:dyDescent="0.3">
      <c r="A28">
        <v>20</v>
      </c>
      <c r="B28" s="4">
        <f t="shared" si="0"/>
        <v>-36324.45574502361</v>
      </c>
      <c r="C28" s="4">
        <f t="shared" si="1"/>
        <v>-19135.270153118439</v>
      </c>
      <c r="D28" s="4">
        <f t="shared" si="2"/>
        <v>-17189.185591905174</v>
      </c>
      <c r="E28" s="4">
        <f t="shared" si="4"/>
        <v>267351.15637863439</v>
      </c>
      <c r="F28" s="1">
        <f t="shared" si="5"/>
        <v>-698.54722586583864</v>
      </c>
      <c r="J28" s="1">
        <v>20</v>
      </c>
      <c r="K28" s="2">
        <f t="shared" si="3"/>
        <v>267351.15637863439</v>
      </c>
      <c r="L28" s="2">
        <f t="shared" si="6"/>
        <v>286486.4265317528</v>
      </c>
      <c r="M28" s="2">
        <f t="shared" si="7"/>
        <v>304538.56818563811</v>
      </c>
      <c r="N28" s="2">
        <f t="shared" si="8"/>
        <v>321568.89050062426</v>
      </c>
      <c r="O28" s="2">
        <f t="shared" si="9"/>
        <v>337635.23230721499</v>
      </c>
      <c r="P28" s="2">
        <f>SUM(K28:O28)</f>
        <v>1517580.2739038644</v>
      </c>
    </row>
    <row r="29" spans="1:16" x14ac:dyDescent="0.3">
      <c r="A29">
        <v>21</v>
      </c>
      <c r="B29" s="4">
        <f t="shared" si="0"/>
        <v>-36324.45574502361</v>
      </c>
      <c r="C29" s="4">
        <f t="shared" si="1"/>
        <v>-20283.386362305544</v>
      </c>
      <c r="D29" s="4">
        <f t="shared" si="2"/>
        <v>-16041.069382718066</v>
      </c>
      <c r="E29" s="4">
        <f t="shared" si="4"/>
        <v>247067.77001632884</v>
      </c>
      <c r="F29" s="1">
        <f t="shared" si="5"/>
        <v>-698.54722586583864</v>
      </c>
      <c r="J29" s="1">
        <v>21</v>
      </c>
      <c r="K29" s="2">
        <f t="shared" si="3"/>
        <v>247067.77001632884</v>
      </c>
      <c r="L29" s="2">
        <f t="shared" si="6"/>
        <v>267351.15637863439</v>
      </c>
      <c r="M29" s="2">
        <f t="shared" si="7"/>
        <v>286486.4265317528</v>
      </c>
      <c r="N29" s="2">
        <f t="shared" si="8"/>
        <v>304538.56818563811</v>
      </c>
      <c r="O29" s="2">
        <f t="shared" si="9"/>
        <v>321568.89050062426</v>
      </c>
      <c r="P29" s="2">
        <f>SUM(K29:O29)</f>
        <v>1427012.8116129783</v>
      </c>
    </row>
    <row r="30" spans="1:16" x14ac:dyDescent="0.3">
      <c r="A30">
        <v>22</v>
      </c>
      <c r="B30" s="4">
        <f t="shared" si="0"/>
        <v>-36324.45574502361</v>
      </c>
      <c r="C30" s="4">
        <f t="shared" si="1"/>
        <v>-21500.389544043876</v>
      </c>
      <c r="D30" s="4">
        <f t="shared" si="2"/>
        <v>-14824.066200979736</v>
      </c>
      <c r="E30" s="4">
        <f t="shared" si="4"/>
        <v>225567.38047228497</v>
      </c>
      <c r="F30" s="1">
        <f t="shared" si="5"/>
        <v>-698.54722586583864</v>
      </c>
      <c r="J30" s="1">
        <v>22</v>
      </c>
      <c r="K30" s="2">
        <f t="shared" si="3"/>
        <v>225567.38047228497</v>
      </c>
      <c r="L30" s="2">
        <f t="shared" si="6"/>
        <v>247067.77001632884</v>
      </c>
      <c r="M30" s="2">
        <f t="shared" si="7"/>
        <v>267351.15637863439</v>
      </c>
      <c r="N30" s="2">
        <f t="shared" si="8"/>
        <v>286486.4265317528</v>
      </c>
      <c r="O30" s="2">
        <f t="shared" si="9"/>
        <v>304538.56818563811</v>
      </c>
      <c r="P30" s="2">
        <f>SUM(K30:O30)</f>
        <v>1331011.3015846391</v>
      </c>
    </row>
    <row r="31" spans="1:16" x14ac:dyDescent="0.3">
      <c r="A31">
        <v>23</v>
      </c>
      <c r="B31" s="4">
        <f t="shared" si="0"/>
        <v>-36324.45574502361</v>
      </c>
      <c r="C31" s="4">
        <f t="shared" si="1"/>
        <v>-22790.41291668651</v>
      </c>
      <c r="D31" s="4">
        <f t="shared" si="2"/>
        <v>-13534.042828337102</v>
      </c>
      <c r="E31" s="4">
        <f t="shared" si="4"/>
        <v>202776.96755559847</v>
      </c>
      <c r="F31" s="1">
        <f t="shared" si="5"/>
        <v>-698.54722586583864</v>
      </c>
      <c r="J31" s="1">
        <v>23</v>
      </c>
      <c r="K31" s="2">
        <f t="shared" si="3"/>
        <v>202776.96755559847</v>
      </c>
      <c r="L31" s="2">
        <f t="shared" si="6"/>
        <v>225567.38047228497</v>
      </c>
      <c r="M31" s="2">
        <f t="shared" si="7"/>
        <v>247067.77001632884</v>
      </c>
      <c r="N31" s="2">
        <f t="shared" si="8"/>
        <v>267351.15637863439</v>
      </c>
      <c r="O31" s="2">
        <f t="shared" si="9"/>
        <v>286486.4265317528</v>
      </c>
      <c r="P31" s="2">
        <f>SUM(K31:O31)</f>
        <v>1229249.7009545993</v>
      </c>
    </row>
    <row r="32" spans="1:16" x14ac:dyDescent="0.3">
      <c r="A32">
        <v>24</v>
      </c>
      <c r="B32" s="4">
        <f t="shared" si="0"/>
        <v>-36324.45574502361</v>
      </c>
      <c r="C32" s="4">
        <f t="shared" si="1"/>
        <v>-24157.837691687702</v>
      </c>
      <c r="D32" s="4">
        <f t="shared" si="2"/>
        <v>-12166.618053335913</v>
      </c>
      <c r="E32" s="4">
        <f t="shared" si="4"/>
        <v>178619.12986391078</v>
      </c>
      <c r="F32" s="1">
        <f t="shared" si="5"/>
        <v>-698.54722586583864</v>
      </c>
      <c r="J32" s="1">
        <v>24</v>
      </c>
      <c r="K32" s="2">
        <f t="shared" si="3"/>
        <v>178619.12986391078</v>
      </c>
      <c r="L32" s="2">
        <f t="shared" si="6"/>
        <v>202776.96755559847</v>
      </c>
      <c r="M32" s="2">
        <f t="shared" si="7"/>
        <v>225567.38047228497</v>
      </c>
      <c r="N32" s="2">
        <f t="shared" si="8"/>
        <v>247067.77001632884</v>
      </c>
      <c r="O32" s="2">
        <f t="shared" si="9"/>
        <v>267351.15637863439</v>
      </c>
      <c r="P32" s="2">
        <f>SUM(K32:O32)</f>
        <v>1121382.4042867576</v>
      </c>
    </row>
    <row r="33" spans="1:16" x14ac:dyDescent="0.3">
      <c r="A33">
        <v>25</v>
      </c>
      <c r="B33" s="4">
        <f t="shared" si="0"/>
        <v>-36324.45574502361</v>
      </c>
      <c r="C33" s="4">
        <f t="shared" si="1"/>
        <v>-25607.307953188963</v>
      </c>
      <c r="D33" s="4">
        <f t="shared" si="2"/>
        <v>-10717.14779183465</v>
      </c>
      <c r="E33" s="4">
        <f t="shared" si="4"/>
        <v>153011.82191072183</v>
      </c>
      <c r="F33" s="1">
        <f t="shared" si="5"/>
        <v>-698.54722586583864</v>
      </c>
      <c r="J33" s="1">
        <v>25</v>
      </c>
      <c r="K33" s="2">
        <f t="shared" si="3"/>
        <v>153011.82191072183</v>
      </c>
      <c r="L33" s="2">
        <f t="shared" si="6"/>
        <v>178619.12986391078</v>
      </c>
      <c r="M33" s="2">
        <f t="shared" si="7"/>
        <v>202776.96755559847</v>
      </c>
      <c r="N33" s="2">
        <f t="shared" si="8"/>
        <v>225567.38047228497</v>
      </c>
      <c r="O33" s="2">
        <f t="shared" si="9"/>
        <v>247067.77001632884</v>
      </c>
      <c r="P33" s="2">
        <f>SUM(K33:O33)</f>
        <v>1007043.069818845</v>
      </c>
    </row>
    <row r="34" spans="1:16" x14ac:dyDescent="0.3">
      <c r="A34">
        <v>26</v>
      </c>
      <c r="B34" s="4">
        <f t="shared" si="0"/>
        <v>-36324.45574502361</v>
      </c>
      <c r="C34" s="4">
        <f t="shared" si="1"/>
        <v>-27143.746430380299</v>
      </c>
      <c r="D34" s="4">
        <f t="shared" si="2"/>
        <v>-9180.7093146433144</v>
      </c>
      <c r="E34" s="4">
        <f t="shared" si="4"/>
        <v>125868.07548034153</v>
      </c>
      <c r="F34" s="1">
        <f t="shared" si="5"/>
        <v>-698.54722586583864</v>
      </c>
      <c r="J34" s="1">
        <v>26</v>
      </c>
      <c r="K34" s="2">
        <f t="shared" si="3"/>
        <v>125868.07548034153</v>
      </c>
      <c r="L34" s="2">
        <f t="shared" si="6"/>
        <v>153011.82191072183</v>
      </c>
      <c r="M34" s="2">
        <f t="shared" si="7"/>
        <v>178619.12986391078</v>
      </c>
      <c r="N34" s="2">
        <f t="shared" si="8"/>
        <v>202776.96755559847</v>
      </c>
      <c r="O34" s="2">
        <f t="shared" si="9"/>
        <v>225567.38047228497</v>
      </c>
      <c r="P34" s="2">
        <f>SUM(K34:O34)</f>
        <v>885843.37528285757</v>
      </c>
    </row>
    <row r="35" spans="1:16" x14ac:dyDescent="0.3">
      <c r="A35">
        <v>27</v>
      </c>
      <c r="B35" s="4">
        <f t="shared" si="0"/>
        <v>-36324.45574502361</v>
      </c>
      <c r="C35" s="4">
        <f t="shared" si="1"/>
        <v>-28772.371216203119</v>
      </c>
      <c r="D35" s="4">
        <f t="shared" si="2"/>
        <v>-7552.0845288204964</v>
      </c>
      <c r="E35" s="4">
        <f t="shared" si="4"/>
        <v>97095.704264138418</v>
      </c>
      <c r="F35" s="1">
        <f t="shared" si="5"/>
        <v>-698.54722586583864</v>
      </c>
      <c r="J35" s="1">
        <v>27</v>
      </c>
      <c r="K35" s="2">
        <f t="shared" si="3"/>
        <v>97095.704264138418</v>
      </c>
      <c r="L35" s="2">
        <f t="shared" si="6"/>
        <v>125868.07548034153</v>
      </c>
      <c r="M35" s="2">
        <f t="shared" si="7"/>
        <v>153011.82191072183</v>
      </c>
      <c r="N35" s="2">
        <f t="shared" si="8"/>
        <v>178619.12986391078</v>
      </c>
      <c r="O35" s="2">
        <f t="shared" si="9"/>
        <v>202776.96755559847</v>
      </c>
      <c r="P35" s="2">
        <f>SUM(K35:O35)</f>
        <v>757371.69907471107</v>
      </c>
    </row>
    <row r="36" spans="1:16" x14ac:dyDescent="0.3">
      <c r="A36">
        <v>28</v>
      </c>
      <c r="B36" s="4">
        <f t="shared" si="0"/>
        <v>-36324.45574502361</v>
      </c>
      <c r="C36" s="4">
        <f t="shared" si="1"/>
        <v>-30498.713489175301</v>
      </c>
      <c r="D36" s="4">
        <f t="shared" si="2"/>
        <v>-5825.7422558483086</v>
      </c>
      <c r="E36" s="4">
        <f t="shared" si="4"/>
        <v>66596.990774963109</v>
      </c>
      <c r="F36" s="1">
        <f t="shared" si="5"/>
        <v>-698.54722586583864</v>
      </c>
      <c r="J36" s="1">
        <v>28</v>
      </c>
      <c r="K36" s="2">
        <f t="shared" si="3"/>
        <v>66596.990774963109</v>
      </c>
      <c r="L36" s="2">
        <f t="shared" si="6"/>
        <v>97095.704264138418</v>
      </c>
      <c r="M36" s="2">
        <f t="shared" si="7"/>
        <v>125868.07548034153</v>
      </c>
      <c r="N36" s="2">
        <f t="shared" si="8"/>
        <v>153011.82191072183</v>
      </c>
      <c r="O36" s="2">
        <f t="shared" si="9"/>
        <v>178619.12986391078</v>
      </c>
      <c r="P36" s="2">
        <f>SUM(K36:O36)</f>
        <v>621191.72229407565</v>
      </c>
    </row>
    <row r="37" spans="1:16" x14ac:dyDescent="0.3">
      <c r="A37">
        <v>29</v>
      </c>
      <c r="B37" s="4">
        <f t="shared" si="0"/>
        <v>-36324.45574502361</v>
      </c>
      <c r="C37" s="4">
        <f t="shared" si="1"/>
        <v>-32328.636298525824</v>
      </c>
      <c r="D37" s="4">
        <f t="shared" si="2"/>
        <v>-3995.819446497791</v>
      </c>
      <c r="E37" s="4">
        <f t="shared" si="4"/>
        <v>34268.354476437285</v>
      </c>
      <c r="F37" s="1">
        <f t="shared" si="5"/>
        <v>-698.54722586583864</v>
      </c>
      <c r="J37" s="1">
        <v>29</v>
      </c>
      <c r="K37" s="2">
        <f t="shared" si="3"/>
        <v>34268.354476437285</v>
      </c>
      <c r="L37" s="2">
        <f t="shared" si="6"/>
        <v>66596.990774963109</v>
      </c>
      <c r="M37" s="2">
        <f t="shared" si="7"/>
        <v>97095.704264138418</v>
      </c>
      <c r="N37" s="2">
        <f t="shared" si="8"/>
        <v>125868.07548034153</v>
      </c>
      <c r="O37" s="2">
        <f t="shared" si="9"/>
        <v>153011.82191072183</v>
      </c>
      <c r="P37" s="2">
        <f>SUM(K37:O37)</f>
        <v>476840.94690660218</v>
      </c>
    </row>
    <row r="38" spans="1:16" x14ac:dyDescent="0.3">
      <c r="A38">
        <v>30</v>
      </c>
      <c r="B38" s="4">
        <f t="shared" si="0"/>
        <v>-36324.45574502361</v>
      </c>
      <c r="C38" s="4">
        <f t="shared" si="1"/>
        <v>-34268.354476437373</v>
      </c>
      <c r="D38" s="4">
        <f t="shared" si="2"/>
        <v>-2056.101268586242</v>
      </c>
      <c r="E38" s="4">
        <f t="shared" si="4"/>
        <v>-8.7311491370201111E-11</v>
      </c>
      <c r="F38" s="1">
        <f t="shared" si="5"/>
        <v>-698.54722586583864</v>
      </c>
      <c r="J38" s="1">
        <v>30</v>
      </c>
      <c r="K38" s="2">
        <f t="shared" si="3"/>
        <v>-8.7311491370201111E-11</v>
      </c>
      <c r="L38" s="2">
        <f t="shared" si="6"/>
        <v>34268.354476437285</v>
      </c>
      <c r="M38" s="2">
        <f t="shared" si="7"/>
        <v>66596.990774963109</v>
      </c>
      <c r="N38" s="2">
        <f t="shared" si="8"/>
        <v>97095.704264138418</v>
      </c>
      <c r="O38" s="2">
        <f t="shared" si="9"/>
        <v>125868.07548034153</v>
      </c>
      <c r="P38" s="2">
        <f>SUM(K38:O38)</f>
        <v>323829.12499588029</v>
      </c>
    </row>
    <row r="39" spans="1:16" x14ac:dyDescent="0.3">
      <c r="J39" s="1">
        <v>31</v>
      </c>
      <c r="K39" s="2"/>
      <c r="L39" s="2">
        <f t="shared" si="6"/>
        <v>-8.7311491370201111E-11</v>
      </c>
      <c r="M39" s="2">
        <f t="shared" si="7"/>
        <v>34268.354476437285</v>
      </c>
      <c r="N39" s="2">
        <f t="shared" si="8"/>
        <v>66596.990774963109</v>
      </c>
      <c r="O39" s="2">
        <f t="shared" si="9"/>
        <v>97095.704264138418</v>
      </c>
      <c r="P39" s="2">
        <f>SUM(K39:O39)</f>
        <v>197961.04951553873</v>
      </c>
    </row>
    <row r="40" spans="1:16" x14ac:dyDescent="0.3">
      <c r="J40" s="1">
        <v>32</v>
      </c>
      <c r="K40" s="2"/>
      <c r="L40" s="2">
        <f t="shared" si="6"/>
        <v>0</v>
      </c>
      <c r="M40" s="2">
        <f t="shared" si="7"/>
        <v>-8.7311491370201111E-11</v>
      </c>
      <c r="N40" s="2">
        <f t="shared" si="8"/>
        <v>34268.354476437285</v>
      </c>
      <c r="O40" s="2">
        <f t="shared" si="9"/>
        <v>66596.990774963109</v>
      </c>
      <c r="P40" s="2">
        <f>SUM(K40:O40)</f>
        <v>100865.34525140031</v>
      </c>
    </row>
    <row r="41" spans="1:16" x14ac:dyDescent="0.3">
      <c r="J41" s="1">
        <v>33</v>
      </c>
      <c r="K41" s="2"/>
      <c r="L41" s="2">
        <f t="shared" si="6"/>
        <v>0</v>
      </c>
      <c r="M41" s="2">
        <f t="shared" si="7"/>
        <v>0</v>
      </c>
      <c r="N41" s="2">
        <f t="shared" si="8"/>
        <v>-8.7311491370201111E-11</v>
      </c>
      <c r="O41" s="2">
        <f t="shared" si="9"/>
        <v>34268.354476437285</v>
      </c>
      <c r="P41" s="2">
        <f>SUM(K41:O41)</f>
        <v>34268.354476437198</v>
      </c>
    </row>
    <row r="42" spans="1:16" x14ac:dyDescent="0.3">
      <c r="J42" s="1">
        <v>34</v>
      </c>
      <c r="K42" s="2"/>
      <c r="L42" s="2">
        <f t="shared" si="6"/>
        <v>0</v>
      </c>
      <c r="M42" s="2">
        <f t="shared" si="7"/>
        <v>0</v>
      </c>
      <c r="N42" s="2">
        <f t="shared" si="8"/>
        <v>0</v>
      </c>
      <c r="O42" s="2">
        <f t="shared" si="9"/>
        <v>-8.7311491370201111E-11</v>
      </c>
      <c r="P42" s="2">
        <f>SUM(K42:O42)</f>
        <v>-8.7311491370201111E-11</v>
      </c>
    </row>
    <row r="43" spans="1:16" x14ac:dyDescent="0.3">
      <c r="J43" s="1">
        <v>35</v>
      </c>
      <c r="P43" s="2">
        <f>SUM(K43:O43)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73d66e-15fd-4cab-8cb6-e25004932d06}" enabled="1" method="Standard" siteId="{45d5d807-c5ae-44c5-bb86-42f20fdebfe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main</vt:lpstr>
      <vt:lpstr>finance</vt:lpstr>
      <vt:lpstr>Amount</vt:lpstr>
      <vt:lpstr>Annual_Rate</vt:lpstr>
      <vt:lpstr>cap_appreciation_rate</vt:lpstr>
      <vt:lpstr>inflation</vt:lpstr>
      <vt:lpstr>Payments___Year</vt:lpstr>
      <vt:lpstr>Years</vt:lpstr>
      <vt:lpstr>yield_rate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Jose.BibinM[HRDIV]</dc:creator>
  <cp:lastModifiedBy>Jose.BibinM[HRDIV]</cp:lastModifiedBy>
  <dcterms:created xsi:type="dcterms:W3CDTF">2025-11-13T01:01:54Z</dcterms:created>
  <dcterms:modified xsi:type="dcterms:W3CDTF">2025-11-13T05:24:43Z</dcterms:modified>
</cp:coreProperties>
</file>