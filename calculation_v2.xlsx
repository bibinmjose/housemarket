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7657\Documents\calculations\hmark\"/>
    </mc:Choice>
  </mc:AlternateContent>
  <xr:revisionPtr revIDLastSave="0" documentId="13_ncr:1_{05460FDF-1CD1-460B-867D-F66E06993A4A}" xr6:coauthVersionLast="47" xr6:coauthVersionMax="47" xr10:uidLastSave="{00000000-0000-0000-0000-000000000000}"/>
  <bookViews>
    <workbookView xWindow="57645" yWindow="615" windowWidth="28755" windowHeight="14535" xr2:uid="{61E349DD-C396-4897-954F-94B6F0CC0F58}"/>
  </bookViews>
  <sheets>
    <sheet name="main" sheetId="1" r:id="rId1"/>
    <sheet name="finance" sheetId="2" r:id="rId2"/>
  </sheets>
  <definedNames>
    <definedName name="Amount">finance!$B$4</definedName>
    <definedName name="Annual_Rate">finance!$B$1</definedName>
    <definedName name="cap_appreciation_rate">main!$C$1</definedName>
    <definedName name="inflation">main!$C$3</definedName>
    <definedName name="Payments___Year">finance!$B$2</definedName>
    <definedName name="Years">finance!$B$3</definedName>
    <definedName name="yield_rate">main!$C$2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2" l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9" i="2" l="1"/>
  <c r="C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7" i="1"/>
  <c r="B11" i="2"/>
  <c r="F11" i="2" s="1"/>
  <c r="C11" i="2"/>
  <c r="D11" i="2"/>
  <c r="B12" i="2"/>
  <c r="F12" i="2" s="1"/>
  <c r="C12" i="2"/>
  <c r="D12" i="2"/>
  <c r="B13" i="2"/>
  <c r="F13" i="2" s="1"/>
  <c r="C13" i="2"/>
  <c r="D13" i="2"/>
  <c r="B14" i="2"/>
  <c r="F14" i="2" s="1"/>
  <c r="C14" i="2"/>
  <c r="D14" i="2"/>
  <c r="B15" i="2"/>
  <c r="F15" i="2" s="1"/>
  <c r="C15" i="2"/>
  <c r="D15" i="2"/>
  <c r="B16" i="2"/>
  <c r="F16" i="2" s="1"/>
  <c r="C16" i="2"/>
  <c r="D16" i="2"/>
  <c r="B17" i="2"/>
  <c r="F17" i="2" s="1"/>
  <c r="C17" i="2"/>
  <c r="D17" i="2"/>
  <c r="B18" i="2"/>
  <c r="F18" i="2" s="1"/>
  <c r="C18" i="2"/>
  <c r="D18" i="2"/>
  <c r="B19" i="2"/>
  <c r="F19" i="2" s="1"/>
  <c r="C19" i="2"/>
  <c r="D19" i="2"/>
  <c r="B20" i="2"/>
  <c r="F20" i="2" s="1"/>
  <c r="C20" i="2"/>
  <c r="D20" i="2"/>
  <c r="B21" i="2"/>
  <c r="F21" i="2" s="1"/>
  <c r="C21" i="2"/>
  <c r="D21" i="2"/>
  <c r="B22" i="2"/>
  <c r="F22" i="2" s="1"/>
  <c r="C22" i="2"/>
  <c r="D22" i="2"/>
  <c r="B23" i="2"/>
  <c r="F23" i="2" s="1"/>
  <c r="C23" i="2"/>
  <c r="D23" i="2"/>
  <c r="B24" i="2"/>
  <c r="F24" i="2" s="1"/>
  <c r="C24" i="2"/>
  <c r="D24" i="2"/>
  <c r="B25" i="2"/>
  <c r="F25" i="2" s="1"/>
  <c r="C25" i="2"/>
  <c r="D25" i="2"/>
  <c r="B26" i="2"/>
  <c r="F26" i="2" s="1"/>
  <c r="C26" i="2"/>
  <c r="D26" i="2"/>
  <c r="B27" i="2"/>
  <c r="F27" i="2" s="1"/>
  <c r="C27" i="2"/>
  <c r="D27" i="2"/>
  <c r="B28" i="2"/>
  <c r="F28" i="2" s="1"/>
  <c r="C28" i="2"/>
  <c r="D28" i="2"/>
  <c r="B29" i="2"/>
  <c r="F29" i="2" s="1"/>
  <c r="C29" i="2"/>
  <c r="D29" i="2"/>
  <c r="B30" i="2"/>
  <c r="F30" i="2" s="1"/>
  <c r="C30" i="2"/>
  <c r="D30" i="2"/>
  <c r="B31" i="2"/>
  <c r="F31" i="2" s="1"/>
  <c r="C31" i="2"/>
  <c r="D31" i="2"/>
  <c r="B32" i="2"/>
  <c r="F32" i="2" s="1"/>
  <c r="C32" i="2"/>
  <c r="D32" i="2"/>
  <c r="B33" i="2"/>
  <c r="F33" i="2" s="1"/>
  <c r="C33" i="2"/>
  <c r="D33" i="2"/>
  <c r="B34" i="2"/>
  <c r="F34" i="2" s="1"/>
  <c r="C34" i="2"/>
  <c r="D34" i="2"/>
  <c r="B35" i="2"/>
  <c r="F35" i="2" s="1"/>
  <c r="C35" i="2"/>
  <c r="D35" i="2"/>
  <c r="B36" i="2"/>
  <c r="F36" i="2" s="1"/>
  <c r="C36" i="2"/>
  <c r="D36" i="2"/>
  <c r="B37" i="2"/>
  <c r="F37" i="2" s="1"/>
  <c r="C37" i="2"/>
  <c r="D37" i="2"/>
  <c r="B38" i="2"/>
  <c r="F38" i="2" s="1"/>
  <c r="C38" i="2"/>
  <c r="D38" i="2"/>
  <c r="B10" i="2"/>
  <c r="F10" i="2" s="1"/>
  <c r="C10" i="2"/>
  <c r="D10" i="2"/>
  <c r="D9" i="2"/>
  <c r="C9" i="2"/>
  <c r="E9" i="2" s="1"/>
  <c r="B9" i="2"/>
  <c r="F9" i="2" s="1"/>
  <c r="I7" i="1" l="1"/>
  <c r="J7" i="1" s="1"/>
  <c r="F7" i="1"/>
  <c r="D7" i="1"/>
  <c r="C8" i="1" s="1"/>
  <c r="G7" i="1"/>
  <c r="E10" i="2"/>
  <c r="E11" i="2" l="1"/>
  <c r="D8" i="1"/>
  <c r="F8" i="1"/>
  <c r="G8" i="1" s="1"/>
  <c r="C9" i="1" l="1"/>
  <c r="D9" i="1" s="1"/>
  <c r="I8" i="1"/>
  <c r="J8" i="1" s="1"/>
  <c r="E12" i="2"/>
  <c r="C10" i="1" l="1"/>
  <c r="I9" i="1"/>
  <c r="J9" i="1" s="1"/>
  <c r="F9" i="1"/>
  <c r="G9" i="1" s="1"/>
  <c r="E13" i="2"/>
  <c r="F10" i="1" l="1"/>
  <c r="G10" i="1" s="1"/>
  <c r="D10" i="1"/>
  <c r="E14" i="2"/>
  <c r="C11" i="1" l="1"/>
  <c r="I10" i="1"/>
  <c r="J10" i="1" s="1"/>
  <c r="E15" i="2"/>
  <c r="F11" i="1" l="1"/>
  <c r="G11" i="1" s="1"/>
  <c r="D11" i="1"/>
  <c r="E16" i="2"/>
  <c r="C12" i="1" l="1"/>
  <c r="I11" i="1"/>
  <c r="J11" i="1" s="1"/>
  <c r="E17" i="2"/>
  <c r="F12" i="1" l="1"/>
  <c r="G12" i="1" s="1"/>
  <c r="D12" i="1"/>
  <c r="E18" i="2"/>
  <c r="C13" i="1" l="1"/>
  <c r="I12" i="1"/>
  <c r="J12" i="1" s="1"/>
  <c r="E19" i="2"/>
  <c r="F13" i="1" l="1"/>
  <c r="G13" i="1" s="1"/>
  <c r="D13" i="1"/>
  <c r="E20" i="2"/>
  <c r="C14" i="1" l="1"/>
  <c r="I13" i="1"/>
  <c r="J13" i="1" s="1"/>
  <c r="E21" i="2"/>
  <c r="D14" i="1" l="1"/>
  <c r="F14" i="1"/>
  <c r="G14" i="1" s="1"/>
  <c r="E22" i="2"/>
  <c r="C15" i="1" l="1"/>
  <c r="I14" i="1"/>
  <c r="J14" i="1" s="1"/>
  <c r="E23" i="2"/>
  <c r="F15" i="1" l="1"/>
  <c r="G15" i="1" s="1"/>
  <c r="D15" i="1"/>
  <c r="E24" i="2"/>
  <c r="C16" i="1" l="1"/>
  <c r="I15" i="1"/>
  <c r="J15" i="1" s="1"/>
  <c r="E25" i="2"/>
  <c r="F16" i="1" l="1"/>
  <c r="G16" i="1" s="1"/>
  <c r="D16" i="1"/>
  <c r="E26" i="2"/>
  <c r="C17" i="1" l="1"/>
  <c r="I16" i="1"/>
  <c r="J16" i="1" s="1"/>
  <c r="E27" i="2"/>
  <c r="F17" i="1" l="1"/>
  <c r="G17" i="1" s="1"/>
  <c r="D17" i="1"/>
  <c r="E28" i="2"/>
  <c r="C18" i="1" l="1"/>
  <c r="I17" i="1"/>
  <c r="J17" i="1" s="1"/>
  <c r="E29" i="2"/>
  <c r="F18" i="1" l="1"/>
  <c r="G18" i="1" s="1"/>
  <c r="D18" i="1"/>
  <c r="E30" i="2"/>
  <c r="C19" i="1" l="1"/>
  <c r="I18" i="1"/>
  <c r="J18" i="1" s="1"/>
  <c r="E31" i="2"/>
  <c r="F19" i="1" l="1"/>
  <c r="G19" i="1" s="1"/>
  <c r="D19" i="1"/>
  <c r="E32" i="2"/>
  <c r="C20" i="1" l="1"/>
  <c r="I19" i="1"/>
  <c r="J19" i="1" s="1"/>
  <c r="E33" i="2"/>
  <c r="D20" i="1" l="1"/>
  <c r="F20" i="1"/>
  <c r="G20" i="1" s="1"/>
  <c r="E34" i="2"/>
  <c r="C21" i="1" l="1"/>
  <c r="I20" i="1"/>
  <c r="J20" i="1" s="1"/>
  <c r="E35" i="2"/>
  <c r="F21" i="1" l="1"/>
  <c r="G21" i="1" s="1"/>
  <c r="D21" i="1"/>
  <c r="E36" i="2"/>
  <c r="C22" i="1" l="1"/>
  <c r="I21" i="1"/>
  <c r="J21" i="1" s="1"/>
  <c r="E37" i="2"/>
  <c r="F22" i="1" l="1"/>
  <c r="G22" i="1" s="1"/>
  <c r="D22" i="1"/>
  <c r="E38" i="2"/>
  <c r="C23" i="1" l="1"/>
  <c r="I22" i="1"/>
  <c r="J22" i="1" s="1"/>
  <c r="F23" i="1" l="1"/>
  <c r="G23" i="1" s="1"/>
  <c r="D23" i="1"/>
  <c r="C24" i="1" l="1"/>
  <c r="I23" i="1"/>
  <c r="J23" i="1" s="1"/>
  <c r="D24" i="1" l="1"/>
  <c r="F24" i="1"/>
  <c r="G24" i="1" s="1"/>
  <c r="C25" i="1" l="1"/>
  <c r="I24" i="1"/>
  <c r="J24" i="1" s="1"/>
  <c r="F25" i="1" l="1"/>
  <c r="G25" i="1" s="1"/>
  <c r="D25" i="1"/>
  <c r="C26" i="1" l="1"/>
  <c r="I25" i="1"/>
  <c r="J25" i="1" s="1"/>
  <c r="F26" i="1" l="1"/>
  <c r="G26" i="1" s="1"/>
  <c r="D26" i="1"/>
  <c r="I26" i="1" s="1"/>
  <c r="J26" i="1" s="1"/>
</calcChain>
</file>

<file path=xl/sharedStrings.xml><?xml version="1.0" encoding="utf-8"?>
<sst xmlns="http://schemas.openxmlformats.org/spreadsheetml/2006/main" count="23" uniqueCount="23">
  <si>
    <t>no</t>
  </si>
  <si>
    <t>cap_appreciation_rate</t>
  </si>
  <si>
    <t>addional_capex</t>
  </si>
  <si>
    <t>yearend_cap_appreciation</t>
  </si>
  <si>
    <t>yearbegin_capex</t>
  </si>
  <si>
    <t>Annual Rate</t>
  </si>
  <si>
    <t>Years</t>
  </si>
  <si>
    <t>Amount</t>
  </si>
  <si>
    <t>Payment Number</t>
  </si>
  <si>
    <t>Payment</t>
  </si>
  <si>
    <t xml:space="preserve">Principal </t>
  </si>
  <si>
    <t>Interest</t>
  </si>
  <si>
    <t>Balance</t>
  </si>
  <si>
    <t>Payments / Year</t>
  </si>
  <si>
    <t>weekly_payment</t>
  </si>
  <si>
    <t>yield</t>
  </si>
  <si>
    <t>yield_rate</t>
  </si>
  <si>
    <t>net_income</t>
  </si>
  <si>
    <t>net_asset</t>
  </si>
  <si>
    <t>liability</t>
  </si>
  <si>
    <t>discounted_net_asset</t>
  </si>
  <si>
    <t>inflation</t>
  </si>
  <si>
    <t>yearend_finpayment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</si>
</sst>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3" formatCode="_-* #,##0.00_-;\-* #,##0.00_-;_-* &quot;-&quot;??_-;_-@_-"/>
    <numFmt numFmtId="164" formatCode="_-* #,##0_-;\-* #,##0_-;_-* &quot;-&quot;??_-;_-@_-"/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8" fontId="0" fillId="0" borderId="0" xfId="0" applyNumberFormat="1"/>
    <xf numFmtId="3" fontId="0" fillId="0" borderId="0" xfId="0" applyNumberFormat="1"/>
    <xf numFmtId="9" fontId="0" fillId="0" borderId="0" xfId="2" applyFont="1"/>
    <xf numFmtId="165" fontId="0" fillId="0" borderId="0" xfId="2" applyNumberFormat="1" applyFon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5"/>
          <c:tx>
            <c:strRef>
              <c:f>main!$G$6</c:f>
              <c:strCache>
                <c:ptCount val="1"/>
                <c:pt idx="0">
                  <c:v> net_income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main!$G$7:$G$26</c15:sqref>
                  </c15:fullRef>
                </c:ext>
              </c:extLst>
              <c:f>main!$G$7:$G$21</c:f>
              <c:numCache>
                <c:formatCode>"$"#,##0.00_);[Red]\("$"#,##0.00\)</c:formatCode>
                <c:ptCount val="15"/>
                <c:pt idx="0">
                  <c:v>-16324.45574502361</c:v>
                </c:pt>
                <c:pt idx="1">
                  <c:v>-34513.802639051937</c:v>
                </c:pt>
                <c:pt idx="2">
                  <c:v>-54190.040682085004</c:v>
                </c:pt>
                <c:pt idx="3">
                  <c:v>-74948.709874122767</c:v>
                </c:pt>
                <c:pt idx="4">
                  <c:v>-96357.03801516525</c:v>
                </c:pt>
                <c:pt idx="5">
                  <c:v>-85303.047361165227</c:v>
                </c:pt>
                <c:pt idx="6">
                  <c:v>-73475.277361385204</c:v>
                </c:pt>
                <c:pt idx="7">
                  <c:v>-60819.563461620593</c:v>
                </c:pt>
                <c:pt idx="8">
                  <c:v>-47277.949588872463</c:v>
                </c:pt>
                <c:pt idx="9">
                  <c:v>-32788.422745031945</c:v>
                </c:pt>
                <c:pt idx="10">
                  <c:v>-17284.629022122594</c:v>
                </c:pt>
                <c:pt idx="11">
                  <c:v>-695.56973860957078</c:v>
                </c:pt>
                <c:pt idx="12">
                  <c:v>17054.723694749351</c:v>
                </c:pt>
                <c:pt idx="13">
                  <c:v>36047.537668443401</c:v>
                </c:pt>
                <c:pt idx="14">
                  <c:v>56369.84862029599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6A-4FDA-948B-63E2418B118F}"/>
            </c:ext>
          </c:extLst>
        </c:ser>
        <c:ser>
          <c:idx val="7"/>
          <c:order val="6"/>
          <c:tx>
            <c:strRef>
              <c:f>main!$H$6</c:f>
              <c:strCache>
                <c:ptCount val="1"/>
                <c:pt idx="0">
                  <c:v> liability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 1 </c:v>
              </c:pt>
              <c:pt idx="1">
                <c:v> 2 </c:v>
              </c:pt>
              <c:pt idx="2">
                <c:v> 3 </c:v>
              </c:pt>
              <c:pt idx="3">
                <c:v> 4 </c:v>
              </c:pt>
              <c:pt idx="4">
                <c:v> 5 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13 </c:v>
              </c:pt>
              <c:pt idx="13">
                <c:v> 14 </c:v>
              </c:pt>
              <c:pt idx="14">
                <c:v> 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main!$H$7:$H$26</c15:sqref>
                  </c15:fullRef>
                </c:ext>
              </c:extLst>
              <c:f>main!$H$7:$H$21</c:f>
              <c:numCache>
                <c:formatCode>_-* #,##0_-;\-* #,##0_-;_-* "-"??_-;_-@_-</c:formatCode>
                <c:ptCount val="15"/>
                <c:pt idx="0">
                  <c:v>493675.54425497638</c:v>
                </c:pt>
                <c:pt idx="1">
                  <c:v>1079382.274271223</c:v>
                </c:pt>
                <c:pt idx="2">
                  <c:v>1755377.1700454112</c:v>
                </c:pt>
                <c:pt idx="3">
                  <c:v>2519812.6303740134</c:v>
                </c:pt>
                <c:pt idx="4">
                  <c:v>3370730.1979812891</c:v>
                </c:pt>
                <c:pt idx="5">
                  <c:v>3318702.8196450006</c:v>
                </c:pt>
                <c:pt idx="6">
                  <c:v>3263553.7986085354</c:v>
                </c:pt>
                <c:pt idx="7">
                  <c:v>3205095.8363098823</c:v>
                </c:pt>
                <c:pt idx="8">
                  <c:v>3143130.3962733103</c:v>
                </c:pt>
                <c:pt idx="9">
                  <c:v>3077447.0298345434</c:v>
                </c:pt>
                <c:pt idx="10">
                  <c:v>3007822.6614094507</c:v>
                </c:pt>
                <c:pt idx="11">
                  <c:v>2934020.8308788529</c:v>
                </c:pt>
                <c:pt idx="12">
                  <c:v>2855790.890516418</c:v>
                </c:pt>
                <c:pt idx="13">
                  <c:v>2772867.1537322379</c:v>
                </c:pt>
                <c:pt idx="14">
                  <c:v>2684967.9927410069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6A-4FDA-948B-63E2418B118F}"/>
            </c:ext>
          </c:extLst>
        </c:ser>
        <c:ser>
          <c:idx val="8"/>
          <c:order val="7"/>
          <c:tx>
            <c:strRef>
              <c:f>main!$I$6</c:f>
              <c:strCache>
                <c:ptCount val="1"/>
                <c:pt idx="0">
                  <c:v> net_asset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 1 </c:v>
              </c:pt>
              <c:pt idx="1">
                <c:v> 2 </c:v>
              </c:pt>
              <c:pt idx="2">
                <c:v> 3 </c:v>
              </c:pt>
              <c:pt idx="3">
                <c:v> 4 </c:v>
              </c:pt>
              <c:pt idx="4">
                <c:v> 5 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13 </c:v>
              </c:pt>
              <c:pt idx="13">
                <c:v> 14 </c:v>
              </c:pt>
              <c:pt idx="14">
                <c:v> 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main!$I$7:$I$26</c15:sqref>
                  </c15:fullRef>
                </c:ext>
              </c:extLst>
              <c:f>main!$I$7:$I$21</c:f>
              <c:numCache>
                <c:formatCode>_-* #,##0_-;\-* #,##0_-;_-* "-"??_-;_-@_-</c:formatCode>
                <c:ptCount val="15"/>
                <c:pt idx="0">
                  <c:v>41324.455745023617</c:v>
                </c:pt>
                <c:pt idx="1">
                  <c:v>135067.725728777</c:v>
                </c:pt>
                <c:pt idx="2">
                  <c:v>293084.32995458902</c:v>
                </c:pt>
                <c:pt idx="3">
                  <c:v>528041.17462598672</c:v>
                </c:pt>
                <c:pt idx="4">
                  <c:v>853473.37336871168</c:v>
                </c:pt>
                <c:pt idx="5">
                  <c:v>1201195.0016995007</c:v>
                </c:pt>
                <c:pt idx="6">
                  <c:v>1572736.870230081</c:v>
                </c:pt>
                <c:pt idx="7">
                  <c:v>1969735.1793474373</c:v>
                </c:pt>
                <c:pt idx="8">
                  <c:v>2393938.7904800223</c:v>
                </c:pt>
                <c:pt idx="9">
                  <c:v>2847216.9999915231</c:v>
                </c:pt>
                <c:pt idx="10">
                  <c:v>3331567.8505044412</c:v>
                </c:pt>
                <c:pt idx="11">
                  <c:v>3849127.0168690123</c:v>
                </c:pt>
                <c:pt idx="12">
                  <c:v>4402177.3065737979</c:v>
                </c:pt>
                <c:pt idx="13">
                  <c:v>4993158.8171542939</c:v>
                </c:pt>
                <c:pt idx="14">
                  <c:v>5624679.7961075827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6A-4FDA-948B-63E2418B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79456"/>
        <c:axId val="5736801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main!$A$6</c15:sqref>
                        </c15:formulaRef>
                      </c:ext>
                    </c:extLst>
                    <c:strCache>
                      <c:ptCount val="1"/>
                      <c:pt idx="0">
                        <c:v>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main!$A$7:$A$26</c15:sqref>
                        </c15:fullRef>
                        <c15:formulaRef>
                          <c15:sqref>main!$A$7:$A$21</c15:sqref>
                        </c15:formulaRef>
                      </c:ext>
                    </c:extLst>
                    <c:numCache>
                      <c:formatCode>0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36A-4FDA-948B-63E2418B118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main!$B$6</c15:sqref>
                        </c15:formulaRef>
                      </c:ext>
                    </c:extLst>
                    <c:strCache>
                      <c:ptCount val="1"/>
                      <c:pt idx="0">
                        <c:v> addional_capex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main!$B$7:$B$26</c15:sqref>
                        </c15:fullRef>
                        <c15:formulaRef>
                          <c15:sqref>main!$B$7:$B$21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500000</c:v>
                      </c:pt>
                      <c:pt idx="1">
                        <c:v>600000</c:v>
                      </c:pt>
                      <c:pt idx="2">
                        <c:v>700000</c:v>
                      </c:pt>
                      <c:pt idx="3">
                        <c:v>800000</c:v>
                      </c:pt>
                      <c:pt idx="4">
                        <c:v>900000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6A-4FDA-948B-63E2418B118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main!$C$6</c15:sqref>
                        </c15:formulaRef>
                      </c:ext>
                    </c:extLst>
                    <c:strCache>
                      <c:ptCount val="1"/>
                      <c:pt idx="0">
                        <c:v> yearbegin_capex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main!$C$7:$C$26</c15:sqref>
                        </c15:fullRef>
                        <c15:formulaRef>
                          <c15:sqref>main!$C$7:$C$21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500000</c:v>
                      </c:pt>
                      <c:pt idx="1">
                        <c:v>1135000</c:v>
                      </c:pt>
                      <c:pt idx="2">
                        <c:v>1914450</c:v>
                      </c:pt>
                      <c:pt idx="3">
                        <c:v>2848461.5</c:v>
                      </c:pt>
                      <c:pt idx="4">
                        <c:v>3947853.8050000002</c:v>
                      </c:pt>
                      <c:pt idx="5">
                        <c:v>4224203.5713500008</c:v>
                      </c:pt>
                      <c:pt idx="6">
                        <c:v>4519897.8213445013</c:v>
                      </c:pt>
                      <c:pt idx="7">
                        <c:v>4836290.6688386165</c:v>
                      </c:pt>
                      <c:pt idx="8">
                        <c:v>5174831.0156573197</c:v>
                      </c:pt>
                      <c:pt idx="9">
                        <c:v>5537069.1867533326</c:v>
                      </c:pt>
                      <c:pt idx="10">
                        <c:v>5924664.0298260665</c:v>
                      </c:pt>
                      <c:pt idx="11">
                        <c:v>6339390.5119138919</c:v>
                      </c:pt>
                      <c:pt idx="12">
                        <c:v>6783147.8477478651</c:v>
                      </c:pt>
                      <c:pt idx="13">
                        <c:v>7257968.197090216</c:v>
                      </c:pt>
                      <c:pt idx="14">
                        <c:v>7766025.9708865313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6A-4FDA-948B-63E2418B118F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main!$E$6</c15:sqref>
                        </c15:formulaRef>
                      </c:ext>
                    </c:extLst>
                    <c:strCache>
                      <c:ptCount val="1"/>
                      <c:pt idx="0">
                        <c:v> yearend_finpayment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main!$E$7:$E$26</c15:sqref>
                        </c15:fullRef>
                        <c15:formulaRef>
                          <c15:sqref>main!$E$7:$E$21</c15:sqref>
                        </c15:formulaRef>
                      </c:ext>
                    </c:extLst>
                    <c:numCache>
                      <c:formatCode>"$"#,##0.00_);[Red]\("$"#,##0.00\)</c:formatCode>
                      <c:ptCount val="15"/>
                      <c:pt idx="0">
                        <c:v>-36324.45574502361</c:v>
                      </c:pt>
                      <c:pt idx="1">
                        <c:v>-79913.802639051937</c:v>
                      </c:pt>
                      <c:pt idx="2">
                        <c:v>-130768.040682085</c:v>
                      </c:pt>
                      <c:pt idx="3">
                        <c:v>-188887.16987412277</c:v>
                      </c:pt>
                      <c:pt idx="4">
                        <c:v>-254271.19021516526</c:v>
                      </c:pt>
                      <c:pt idx="5">
                        <c:v>-254271.19021516526</c:v>
                      </c:pt>
                      <c:pt idx="6">
                        <c:v>-254271.19021516526</c:v>
                      </c:pt>
                      <c:pt idx="7">
                        <c:v>-254271.19021516526</c:v>
                      </c:pt>
                      <c:pt idx="8">
                        <c:v>-254271.19021516526</c:v>
                      </c:pt>
                      <c:pt idx="9">
                        <c:v>-254271.19021516526</c:v>
                      </c:pt>
                      <c:pt idx="10">
                        <c:v>-254271.19021516526</c:v>
                      </c:pt>
                      <c:pt idx="11">
                        <c:v>-254271.19021516526</c:v>
                      </c:pt>
                      <c:pt idx="12">
                        <c:v>-254271.19021516526</c:v>
                      </c:pt>
                      <c:pt idx="13">
                        <c:v>-254271.19021516526</c:v>
                      </c:pt>
                      <c:pt idx="14">
                        <c:v>-254271.19021516526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6A-4FDA-948B-63E2418B118F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main!$F$6</c15:sqref>
                        </c15:formulaRef>
                      </c:ext>
                    </c:extLst>
                    <c:strCache>
                      <c:ptCount val="1"/>
                      <c:pt idx="0">
                        <c:v> yield 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main!$F$7:$F$26</c15:sqref>
                        </c15:fullRef>
                        <c15:formulaRef>
                          <c15:sqref>main!$F$7:$F$21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20000</c:v>
                      </c:pt>
                      <c:pt idx="1">
                        <c:v>45400</c:v>
                      </c:pt>
                      <c:pt idx="2">
                        <c:v>76578</c:v>
                      </c:pt>
                      <c:pt idx="3">
                        <c:v>113938.46</c:v>
                      </c:pt>
                      <c:pt idx="4">
                        <c:v>157914.15220000001</c:v>
                      </c:pt>
                      <c:pt idx="5">
                        <c:v>168968.14285400003</c:v>
                      </c:pt>
                      <c:pt idx="6">
                        <c:v>180795.91285378006</c:v>
                      </c:pt>
                      <c:pt idx="7">
                        <c:v>193451.62675354467</c:v>
                      </c:pt>
                      <c:pt idx="8">
                        <c:v>206993.2406262928</c:v>
                      </c:pt>
                      <c:pt idx="9">
                        <c:v>221482.76747013332</c:v>
                      </c:pt>
                      <c:pt idx="10">
                        <c:v>236986.56119304267</c:v>
                      </c:pt>
                      <c:pt idx="11">
                        <c:v>253575.62047655569</c:v>
                      </c:pt>
                      <c:pt idx="12">
                        <c:v>271325.91390991461</c:v>
                      </c:pt>
                      <c:pt idx="13">
                        <c:v>290318.72788360866</c:v>
                      </c:pt>
                      <c:pt idx="14">
                        <c:v>310641.03883546125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36A-4FDA-948B-63E2418B118F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main!$J$6</c15:sqref>
                        </c15:formulaRef>
                      </c:ext>
                    </c:extLst>
                    <c:strCache>
                      <c:ptCount val="1"/>
                      <c:pt idx="0">
                        <c:v> discounted_net_asset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main!$J$7:$J$26</c15:sqref>
                        </c15:fullRef>
                        <c15:formulaRef>
                          <c15:sqref>main!$J$7:$J$21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38985.335608512847</c:v>
                      </c:pt>
                      <c:pt idx="1">
                        <c:v>120209.79505943129</c:v>
                      </c:pt>
                      <c:pt idx="2">
                        <c:v>246079.25498447457</c:v>
                      </c:pt>
                      <c:pt idx="3">
                        <c:v>418258.06835000502</c:v>
                      </c:pt>
                      <c:pt idx="4">
                        <c:v>637764.95357333345</c:v>
                      </c:pt>
                      <c:pt idx="5">
                        <c:v>846795.0775715179</c:v>
                      </c:pt>
                      <c:pt idx="6">
                        <c:v>1045959.8434026442</c:v>
                      </c:pt>
                      <c:pt idx="7">
                        <c:v>1235836.2197897935</c:v>
                      </c:pt>
                      <c:pt idx="8">
                        <c:v>1416968.6918700517</c:v>
                      </c:pt>
                      <c:pt idx="9">
                        <c:v>1589871.1015391976</c:v>
                      </c:pt>
                      <c:pt idx="10">
                        <c:v>1755028.3836415149</c:v>
                      </c:pt>
                      <c:pt idx="11">
                        <c:v>1912898.2039004315</c:v>
                      </c:pt>
                      <c:pt idx="12">
                        <c:v>2063912.5041519757</c:v>
                      </c:pt>
                      <c:pt idx="13">
                        <c:v>2208478.960128211</c:v>
                      </c:pt>
                      <c:pt idx="14">
                        <c:v>2346982.3567407974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36A-4FDA-948B-63E2418B118F}"/>
                  </c:ext>
                </c:extLst>
              </c15:ser>
            </c15:filteredLineSeries>
          </c:ext>
        </c:extLst>
      </c:lineChart>
      <c:catAx>
        <c:axId val="573679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80176"/>
        <c:crosses val="autoZero"/>
        <c:auto val="1"/>
        <c:lblAlgn val="ctr"/>
        <c:lblOffset val="100"/>
        <c:noMultiLvlLbl val="0"/>
      </c:catAx>
      <c:valAx>
        <c:axId val="5736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7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472846</xdr:colOff>
      <xdr:row>9</xdr:row>
      <xdr:rowOff>48738</xdr:rowOff>
    </xdr:from>
    <xdr:to>
      <xdr:col>20</xdr:col>
      <xdr:colOff>431643</xdr:colOff>
      <xdr:row>33</xdr:row>
      <xdr:rowOff>82086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D5F98-5E5D-DEBE-6062-015DC771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43BD-A745-4AD3-8316-13267078B599}">
  <dimension ref="A1:J26"/>
  <sheetViews>
    <sheetView tabSelected="1" zoomScale="89" zoomScaleNormal="89" workbookViewId="0">
      <selection activeCell="I30" sqref="I30"/>
    </sheetView>
  </sheetViews>
  <sheetFormatPr defaultRowHeight="14.4" x14ac:dyDescent="0.3"/>
  <cols>
    <col min="1" max="1" width="3.21875" style="1" bestFit="1" customWidth="1"/>
    <col min="2" max="2" width="20.44140625" style="2" bestFit="1" customWidth="1"/>
    <col min="3" max="3" width="16.77734375" style="2" bestFit="1" customWidth="1"/>
    <col min="4" max="4" width="25.5546875" style="2" bestFit="1" customWidth="1"/>
    <col min="5" max="5" width="21.6640625" bestFit="1" customWidth="1"/>
    <col min="6" max="6" width="9.33203125" bestFit="1" customWidth="1"/>
    <col min="7" max="7" width="12.109375" bestFit="1" customWidth="1"/>
    <col min="8" max="8" width="12.5546875" customWidth="1"/>
    <col min="9" max="9" width="13.109375" customWidth="1"/>
    <col min="10" max="10" width="14.5546875" customWidth="1"/>
    <col min="11" max="11" width="9.109375" bestFit="1" customWidth="1"/>
  </cols>
  <sheetData>
    <row r="1" spans="1:10" x14ac:dyDescent="0.3">
      <c r="B1" t="s">
        <v>1</v>
      </c>
      <c r="C1" s="5">
        <v>7.0000000000000007E-2</v>
      </c>
    </row>
    <row r="2" spans="1:10" x14ac:dyDescent="0.3">
      <c r="B2" t="s">
        <v>16</v>
      </c>
      <c r="C2" s="5">
        <v>0.04</v>
      </c>
    </row>
    <row r="3" spans="1:10" x14ac:dyDescent="0.3">
      <c r="B3" s="2" t="s">
        <v>21</v>
      </c>
      <c r="C3" s="5">
        <v>0.06</v>
      </c>
    </row>
    <row r="6" spans="1:10" x14ac:dyDescent="0.3">
      <c r="A6" s="1" t="s">
        <v>0</v>
      </c>
      <c r="B6" s="2" t="s">
        <v>2</v>
      </c>
      <c r="C6" s="2" t="s">
        <v>4</v>
      </c>
      <c r="D6" s="2" t="s">
        <v>3</v>
      </c>
      <c r="E6" s="2" t="s">
        <v>22</v>
      </c>
      <c r="F6" s="2" t="s">
        <v>15</v>
      </c>
      <c r="G6" s="2" t="s">
        <v>17</v>
      </c>
      <c r="H6" s="2" t="s">
        <v>19</v>
      </c>
      <c r="I6" s="2" t="s">
        <v>18</v>
      </c>
      <c r="J6" s="2" t="s">
        <v>20</v>
      </c>
    </row>
    <row r="7" spans="1:10" x14ac:dyDescent="0.3">
      <c r="A7" s="1">
        <v>1</v>
      </c>
      <c r="B7" s="2">
        <v>500000</v>
      </c>
      <c r="C7" s="2">
        <f>B7</f>
        <v>500000</v>
      </c>
      <c r="D7" s="2">
        <f t="shared" ref="D7:D26" si="0">C7*(1+cap_appreciation_rate)</f>
        <v>535000</v>
      </c>
      <c r="E7" s="3">
        <f>PMT(Annual_Rate/Payments___Year,Years*Payments___Year,SUM($B$7:B7))</f>
        <v>-36324.45574502361</v>
      </c>
      <c r="F7" s="7">
        <f t="shared" ref="F7:F26" si="1">C7*yield_rate</f>
        <v>20000</v>
      </c>
      <c r="G7" s="3">
        <f>E7+F7</f>
        <v>-16324.45574502361</v>
      </c>
      <c r="H7" s="2">
        <v>493675.54425497638</v>
      </c>
      <c r="I7" s="7">
        <f>D7-H7</f>
        <v>41324.455745023617</v>
      </c>
      <c r="J7" s="7">
        <f t="shared" ref="J7:J26" si="2">I7/(1+inflation)^A7</f>
        <v>38985.335608512847</v>
      </c>
    </row>
    <row r="8" spans="1:10" x14ac:dyDescent="0.3">
      <c r="A8" s="1">
        <v>2</v>
      </c>
      <c r="B8" s="2">
        <v>600000</v>
      </c>
      <c r="C8" s="2">
        <f>D7+B8</f>
        <v>1135000</v>
      </c>
      <c r="D8" s="2">
        <f t="shared" si="0"/>
        <v>1214450</v>
      </c>
      <c r="E8" s="3">
        <f>PMT(Annual_Rate/Payments___Year,Years*Payments___Year,SUM($B$7:B8))</f>
        <v>-79913.802639051937</v>
      </c>
      <c r="F8" s="7">
        <f t="shared" si="1"/>
        <v>45400</v>
      </c>
      <c r="G8" s="3">
        <f t="shared" ref="G8:G26" si="3">E8+F8</f>
        <v>-34513.802639051937</v>
      </c>
      <c r="H8" s="2">
        <v>1079382.274271223</v>
      </c>
      <c r="I8" s="7">
        <f t="shared" ref="I8:I26" si="4">D8-H8</f>
        <v>135067.725728777</v>
      </c>
      <c r="J8" s="7">
        <f t="shared" si="2"/>
        <v>120209.79505943129</v>
      </c>
    </row>
    <row r="9" spans="1:10" x14ac:dyDescent="0.3">
      <c r="A9" s="1">
        <v>3</v>
      </c>
      <c r="B9" s="2">
        <v>700000</v>
      </c>
      <c r="C9" s="2">
        <f t="shared" ref="C9:C26" si="5">D8+B9</f>
        <v>1914450</v>
      </c>
      <c r="D9" s="2">
        <f t="shared" si="0"/>
        <v>2048461.5000000002</v>
      </c>
      <c r="E9" s="3">
        <f>PMT(Annual_Rate/Payments___Year,Years*Payments___Year,SUM($B$7:B9))</f>
        <v>-130768.040682085</v>
      </c>
      <c r="F9" s="7">
        <f t="shared" si="1"/>
        <v>76578</v>
      </c>
      <c r="G9" s="3">
        <f t="shared" si="3"/>
        <v>-54190.040682085004</v>
      </c>
      <c r="H9" s="2">
        <v>1755377.1700454112</v>
      </c>
      <c r="I9" s="7">
        <f t="shared" si="4"/>
        <v>293084.32995458902</v>
      </c>
      <c r="J9" s="7">
        <f t="shared" si="2"/>
        <v>246079.25498447457</v>
      </c>
    </row>
    <row r="10" spans="1:10" x14ac:dyDescent="0.3">
      <c r="A10" s="1">
        <v>4</v>
      </c>
      <c r="B10" s="2">
        <v>800000</v>
      </c>
      <c r="C10" s="2">
        <f t="shared" si="5"/>
        <v>2848461.5</v>
      </c>
      <c r="D10" s="2">
        <f t="shared" si="0"/>
        <v>3047853.8050000002</v>
      </c>
      <c r="E10" s="3">
        <f>PMT(Annual_Rate/Payments___Year,Years*Payments___Year,SUM($B$7:B10))</f>
        <v>-188887.16987412277</v>
      </c>
      <c r="F10" s="7">
        <f t="shared" si="1"/>
        <v>113938.46</v>
      </c>
      <c r="G10" s="3">
        <f t="shared" si="3"/>
        <v>-74948.709874122767</v>
      </c>
      <c r="H10" s="2">
        <v>2519812.6303740134</v>
      </c>
      <c r="I10" s="7">
        <f t="shared" si="4"/>
        <v>528041.17462598672</v>
      </c>
      <c r="J10" s="7">
        <f t="shared" si="2"/>
        <v>418258.06835000502</v>
      </c>
    </row>
    <row r="11" spans="1:10" x14ac:dyDescent="0.3">
      <c r="A11" s="1">
        <v>5</v>
      </c>
      <c r="B11" s="2">
        <v>900000</v>
      </c>
      <c r="C11" s="2">
        <f t="shared" si="5"/>
        <v>3947853.8050000002</v>
      </c>
      <c r="D11" s="2">
        <f t="shared" si="0"/>
        <v>4224203.5713500008</v>
      </c>
      <c r="E11" s="3">
        <f>PMT(Annual_Rate/Payments___Year,Years*Payments___Year,SUM($B$7:B11))</f>
        <v>-254271.19021516526</v>
      </c>
      <c r="F11" s="7">
        <f t="shared" si="1"/>
        <v>157914.15220000001</v>
      </c>
      <c r="G11" s="3">
        <f t="shared" si="3"/>
        <v>-96357.03801516525</v>
      </c>
      <c r="H11" s="2">
        <v>3370730.1979812891</v>
      </c>
      <c r="I11" s="7">
        <f t="shared" si="4"/>
        <v>853473.37336871168</v>
      </c>
      <c r="J11" s="7">
        <f t="shared" si="2"/>
        <v>637764.95357333345</v>
      </c>
    </row>
    <row r="12" spans="1:10" x14ac:dyDescent="0.3">
      <c r="A12" s="1">
        <v>6</v>
      </c>
      <c r="B12" s="2">
        <v>0</v>
      </c>
      <c r="C12" s="2">
        <f t="shared" si="5"/>
        <v>4224203.5713500008</v>
      </c>
      <c r="D12" s="2">
        <f t="shared" si="0"/>
        <v>4519897.8213445013</v>
      </c>
      <c r="E12" s="3">
        <f>PMT(Annual_Rate/Payments___Year,Years*Payments___Year,SUM($B$7:B12))</f>
        <v>-254271.19021516526</v>
      </c>
      <c r="F12" s="7">
        <f t="shared" si="1"/>
        <v>168968.14285400003</v>
      </c>
      <c r="G12" s="3">
        <f t="shared" si="3"/>
        <v>-85303.047361165227</v>
      </c>
      <c r="H12" s="2">
        <v>3318702.8196450006</v>
      </c>
      <c r="I12" s="7">
        <f t="shared" si="4"/>
        <v>1201195.0016995007</v>
      </c>
      <c r="J12" s="7">
        <f t="shared" si="2"/>
        <v>846795.0775715179</v>
      </c>
    </row>
    <row r="13" spans="1:10" x14ac:dyDescent="0.3">
      <c r="A13" s="1">
        <v>7</v>
      </c>
      <c r="B13" s="2">
        <v>0</v>
      </c>
      <c r="C13" s="2">
        <f t="shared" si="5"/>
        <v>4519897.8213445013</v>
      </c>
      <c r="D13" s="2">
        <f t="shared" si="0"/>
        <v>4836290.6688386165</v>
      </c>
      <c r="E13" s="3">
        <f>PMT(Annual_Rate/Payments___Year,Years*Payments___Year,SUM($B$7:B13))</f>
        <v>-254271.19021516526</v>
      </c>
      <c r="F13" s="7">
        <f t="shared" si="1"/>
        <v>180795.91285378006</v>
      </c>
      <c r="G13" s="3">
        <f t="shared" si="3"/>
        <v>-73475.277361385204</v>
      </c>
      <c r="H13" s="2">
        <v>3263553.7986085354</v>
      </c>
      <c r="I13" s="7">
        <f t="shared" si="4"/>
        <v>1572736.870230081</v>
      </c>
      <c r="J13" s="7">
        <f t="shared" si="2"/>
        <v>1045959.8434026442</v>
      </c>
    </row>
    <row r="14" spans="1:10" x14ac:dyDescent="0.3">
      <c r="A14" s="1">
        <v>8</v>
      </c>
      <c r="B14" s="2">
        <v>0</v>
      </c>
      <c r="C14" s="2">
        <f t="shared" si="5"/>
        <v>4836290.6688386165</v>
      </c>
      <c r="D14" s="2">
        <f t="shared" si="0"/>
        <v>5174831.0156573197</v>
      </c>
      <c r="E14" s="3">
        <f>PMT(Annual_Rate/Payments___Year,Years*Payments___Year,SUM($B$7:B14))</f>
        <v>-254271.19021516526</v>
      </c>
      <c r="F14" s="7">
        <f t="shared" si="1"/>
        <v>193451.62675354467</v>
      </c>
      <c r="G14" s="3">
        <f t="shared" si="3"/>
        <v>-60819.563461620593</v>
      </c>
      <c r="H14" s="2">
        <v>3205095.8363098823</v>
      </c>
      <c r="I14" s="7">
        <f t="shared" si="4"/>
        <v>1969735.1793474373</v>
      </c>
      <c r="J14" s="7">
        <f t="shared" si="2"/>
        <v>1235836.2197897935</v>
      </c>
    </row>
    <row r="15" spans="1:10" x14ac:dyDescent="0.3">
      <c r="A15" s="1">
        <v>9</v>
      </c>
      <c r="B15" s="2">
        <v>0</v>
      </c>
      <c r="C15" s="2">
        <f t="shared" si="5"/>
        <v>5174831.0156573197</v>
      </c>
      <c r="D15" s="2">
        <f t="shared" si="0"/>
        <v>5537069.1867533326</v>
      </c>
      <c r="E15" s="3">
        <f>PMT(Annual_Rate/Payments___Year,Years*Payments___Year,SUM($B$7:B15))</f>
        <v>-254271.19021516526</v>
      </c>
      <c r="F15" s="7">
        <f t="shared" si="1"/>
        <v>206993.2406262928</v>
      </c>
      <c r="G15" s="3">
        <f t="shared" si="3"/>
        <v>-47277.949588872463</v>
      </c>
      <c r="H15" s="2">
        <v>3143130.3962733103</v>
      </c>
      <c r="I15" s="7">
        <f t="shared" si="4"/>
        <v>2393938.7904800223</v>
      </c>
      <c r="J15" s="7">
        <f t="shared" si="2"/>
        <v>1416968.6918700517</v>
      </c>
    </row>
    <row r="16" spans="1:10" x14ac:dyDescent="0.3">
      <c r="A16" s="1">
        <v>10</v>
      </c>
      <c r="B16" s="2">
        <v>0</v>
      </c>
      <c r="C16" s="2">
        <f t="shared" si="5"/>
        <v>5537069.1867533326</v>
      </c>
      <c r="D16" s="2">
        <f t="shared" si="0"/>
        <v>5924664.0298260665</v>
      </c>
      <c r="E16" s="3">
        <f>PMT(Annual_Rate/Payments___Year,Years*Payments___Year,SUM($B$7:B16))</f>
        <v>-254271.19021516526</v>
      </c>
      <c r="F16" s="7">
        <f t="shared" si="1"/>
        <v>221482.76747013332</v>
      </c>
      <c r="G16" s="3">
        <f t="shared" si="3"/>
        <v>-32788.422745031945</v>
      </c>
      <c r="H16" s="2">
        <v>3077447.0298345434</v>
      </c>
      <c r="I16" s="7">
        <f t="shared" si="4"/>
        <v>2847216.9999915231</v>
      </c>
      <c r="J16" s="7">
        <f t="shared" si="2"/>
        <v>1589871.1015391976</v>
      </c>
    </row>
    <row r="17" spans="1:10" x14ac:dyDescent="0.3">
      <c r="A17" s="1">
        <v>11</v>
      </c>
      <c r="B17" s="2">
        <v>0</v>
      </c>
      <c r="C17" s="2">
        <f t="shared" si="5"/>
        <v>5924664.0298260665</v>
      </c>
      <c r="D17" s="2">
        <f t="shared" si="0"/>
        <v>6339390.5119138919</v>
      </c>
      <c r="E17" s="3">
        <f>PMT(Annual_Rate/Payments___Year,Years*Payments___Year,SUM($B$7:B17))</f>
        <v>-254271.19021516526</v>
      </c>
      <c r="F17" s="7">
        <f t="shared" si="1"/>
        <v>236986.56119304267</v>
      </c>
      <c r="G17" s="3">
        <f t="shared" si="3"/>
        <v>-17284.629022122594</v>
      </c>
      <c r="H17" s="2">
        <v>3007822.6614094507</v>
      </c>
      <c r="I17" s="7">
        <f t="shared" si="4"/>
        <v>3331567.8505044412</v>
      </c>
      <c r="J17" s="7">
        <f t="shared" si="2"/>
        <v>1755028.3836415149</v>
      </c>
    </row>
    <row r="18" spans="1:10" x14ac:dyDescent="0.3">
      <c r="A18" s="1">
        <v>12</v>
      </c>
      <c r="B18" s="2">
        <v>0</v>
      </c>
      <c r="C18" s="2">
        <f t="shared" si="5"/>
        <v>6339390.5119138919</v>
      </c>
      <c r="D18" s="2">
        <f t="shared" si="0"/>
        <v>6783147.8477478651</v>
      </c>
      <c r="E18" s="3">
        <f>PMT(Annual_Rate/Payments___Year,Years*Payments___Year,SUM($B$7:B18))</f>
        <v>-254271.19021516526</v>
      </c>
      <c r="F18" s="7">
        <f t="shared" si="1"/>
        <v>253575.62047655569</v>
      </c>
      <c r="G18" s="3">
        <f t="shared" si="3"/>
        <v>-695.56973860957078</v>
      </c>
      <c r="H18" s="2">
        <v>2934020.8308788529</v>
      </c>
      <c r="I18" s="7">
        <f t="shared" si="4"/>
        <v>3849127.0168690123</v>
      </c>
      <c r="J18" s="7">
        <f t="shared" si="2"/>
        <v>1912898.2039004315</v>
      </c>
    </row>
    <row r="19" spans="1:10" x14ac:dyDescent="0.3">
      <c r="A19" s="1">
        <v>13</v>
      </c>
      <c r="B19" s="2">
        <v>0</v>
      </c>
      <c r="C19" s="2">
        <f t="shared" si="5"/>
        <v>6783147.8477478651</v>
      </c>
      <c r="D19" s="2">
        <f t="shared" si="0"/>
        <v>7257968.197090216</v>
      </c>
      <c r="E19" s="3">
        <f>PMT(Annual_Rate/Payments___Year,Years*Payments___Year,SUM($B$7:B19))</f>
        <v>-254271.19021516526</v>
      </c>
      <c r="F19" s="7">
        <f t="shared" si="1"/>
        <v>271325.91390991461</v>
      </c>
      <c r="G19" s="3">
        <f t="shared" si="3"/>
        <v>17054.723694749351</v>
      </c>
      <c r="H19" s="2">
        <v>2855790.890516418</v>
      </c>
      <c r="I19" s="7">
        <f t="shared" si="4"/>
        <v>4402177.3065737979</v>
      </c>
      <c r="J19" s="7">
        <f t="shared" si="2"/>
        <v>2063912.5041519757</v>
      </c>
    </row>
    <row r="20" spans="1:10" x14ac:dyDescent="0.3">
      <c r="A20" s="1">
        <v>14</v>
      </c>
      <c r="B20" s="2">
        <v>0</v>
      </c>
      <c r="C20" s="2">
        <f t="shared" si="5"/>
        <v>7257968.197090216</v>
      </c>
      <c r="D20" s="2">
        <f t="shared" si="0"/>
        <v>7766025.9708865313</v>
      </c>
      <c r="E20" s="3">
        <f>PMT(Annual_Rate/Payments___Year,Years*Payments___Year,SUM($B$7:B20))</f>
        <v>-254271.19021516526</v>
      </c>
      <c r="F20" s="7">
        <f t="shared" si="1"/>
        <v>290318.72788360866</v>
      </c>
      <c r="G20" s="3">
        <f t="shared" si="3"/>
        <v>36047.537668443401</v>
      </c>
      <c r="H20" s="2">
        <v>2772867.1537322379</v>
      </c>
      <c r="I20" s="7">
        <f t="shared" si="4"/>
        <v>4993158.8171542939</v>
      </c>
      <c r="J20" s="7">
        <f t="shared" si="2"/>
        <v>2208478.960128211</v>
      </c>
    </row>
    <row r="21" spans="1:10" x14ac:dyDescent="0.3">
      <c r="A21" s="1">
        <v>15</v>
      </c>
      <c r="B21" s="2">
        <v>0</v>
      </c>
      <c r="C21" s="2">
        <f t="shared" si="5"/>
        <v>7766025.9708865313</v>
      </c>
      <c r="D21" s="2">
        <f t="shared" si="0"/>
        <v>8309647.7888485892</v>
      </c>
      <c r="E21" s="3">
        <f>PMT(Annual_Rate/Payments___Year,Years*Payments___Year,SUM($B$7:B21))</f>
        <v>-254271.19021516526</v>
      </c>
      <c r="F21" s="7">
        <f t="shared" si="1"/>
        <v>310641.03883546125</v>
      </c>
      <c r="G21" s="3">
        <f t="shared" si="3"/>
        <v>56369.84862029599</v>
      </c>
      <c r="H21" s="2">
        <v>2684967.9927410069</v>
      </c>
      <c r="I21" s="7">
        <f t="shared" si="4"/>
        <v>5624679.7961075827</v>
      </c>
      <c r="J21" s="7">
        <f t="shared" si="2"/>
        <v>2346982.3567407974</v>
      </c>
    </row>
    <row r="22" spans="1:10" x14ac:dyDescent="0.3">
      <c r="A22" s="1">
        <v>16</v>
      </c>
      <c r="B22" s="2">
        <v>0</v>
      </c>
      <c r="C22" s="2">
        <f t="shared" si="5"/>
        <v>8309647.7888485892</v>
      </c>
      <c r="D22" s="2">
        <f t="shared" si="0"/>
        <v>8891323.1340679917</v>
      </c>
      <c r="E22" s="3">
        <f>PMT(Annual_Rate/Payments___Year,Years*Payments___Year,SUM($B$7:B22))</f>
        <v>-254271.19021516526</v>
      </c>
      <c r="F22" s="7">
        <f t="shared" si="1"/>
        <v>332385.91155394359</v>
      </c>
      <c r="G22" s="3">
        <f t="shared" si="3"/>
        <v>78114.721338778327</v>
      </c>
      <c r="H22" s="2">
        <v>2591794.8820903022</v>
      </c>
      <c r="I22" s="7">
        <f t="shared" si="4"/>
        <v>6299528.2519776896</v>
      </c>
      <c r="J22" s="7">
        <f t="shared" si="2"/>
        <v>2479785.8855346451</v>
      </c>
    </row>
    <row r="23" spans="1:10" x14ac:dyDescent="0.3">
      <c r="A23" s="1">
        <v>17</v>
      </c>
      <c r="B23" s="2">
        <v>0</v>
      </c>
      <c r="C23" s="2">
        <f t="shared" si="5"/>
        <v>8891323.1340679917</v>
      </c>
      <c r="D23" s="2">
        <f t="shared" si="0"/>
        <v>9513715.7534527518</v>
      </c>
      <c r="E23" s="3">
        <f>PMT(Annual_Rate/Payments___Year,Years*Payments___Year,SUM($B$7:B23))</f>
        <v>-254271.19021516526</v>
      </c>
      <c r="F23" s="7">
        <f t="shared" si="1"/>
        <v>355652.92536271969</v>
      </c>
      <c r="G23" s="3">
        <f t="shared" si="3"/>
        <v>101381.73514755443</v>
      </c>
      <c r="H23" s="2">
        <v>2493031.3848005552</v>
      </c>
      <c r="I23" s="7">
        <f t="shared" si="4"/>
        <v>7020684.3686521966</v>
      </c>
      <c r="J23" s="7">
        <f t="shared" si="2"/>
        <v>2607232.3687172644</v>
      </c>
    </row>
    <row r="24" spans="1:10" x14ac:dyDescent="0.3">
      <c r="A24" s="1">
        <v>18</v>
      </c>
      <c r="B24" s="2">
        <v>0</v>
      </c>
      <c r="C24" s="2">
        <f t="shared" si="5"/>
        <v>9513715.7534527518</v>
      </c>
      <c r="D24" s="2">
        <f t="shared" si="0"/>
        <v>10179675.856194446</v>
      </c>
      <c r="E24" s="3">
        <f>PMT(Annual_Rate/Payments___Year,Years*Payments___Year,SUM($B$7:B24))</f>
        <v>-254271.19021516526</v>
      </c>
      <c r="F24" s="7">
        <f t="shared" si="1"/>
        <v>380548.63013811008</v>
      </c>
      <c r="G24" s="3">
        <f t="shared" si="3"/>
        <v>126277.43992294482</v>
      </c>
      <c r="H24" s="2">
        <v>2388342.0776734231</v>
      </c>
      <c r="I24" s="7">
        <f t="shared" si="4"/>
        <v>7791333.7785210228</v>
      </c>
      <c r="J24" s="7">
        <f t="shared" si="2"/>
        <v>2729645.4139200835</v>
      </c>
    </row>
    <row r="25" spans="1:10" x14ac:dyDescent="0.3">
      <c r="A25" s="1">
        <v>19</v>
      </c>
      <c r="B25" s="2">
        <v>0</v>
      </c>
      <c r="C25" s="2">
        <f t="shared" si="5"/>
        <v>10179675.856194446</v>
      </c>
      <c r="D25" s="2">
        <f t="shared" si="0"/>
        <v>10892253.166128058</v>
      </c>
      <c r="E25" s="3">
        <f>PMT(Annual_Rate/Payments___Year,Years*Payments___Year,SUM($B$7:B25))</f>
        <v>-254271.19021516526</v>
      </c>
      <c r="F25" s="7">
        <f t="shared" si="1"/>
        <v>407187.03424777783</v>
      </c>
      <c r="G25" s="3">
        <f t="shared" si="3"/>
        <v>152915.84403261257</v>
      </c>
      <c r="H25" s="2">
        <v>2277371.4121186631</v>
      </c>
      <c r="I25" s="7">
        <f t="shared" si="4"/>
        <v>8614881.7540093958</v>
      </c>
      <c r="J25" s="7">
        <f t="shared" si="2"/>
        <v>2847330.503612699</v>
      </c>
    </row>
    <row r="26" spans="1:10" x14ac:dyDescent="0.3">
      <c r="A26" s="1">
        <v>20</v>
      </c>
      <c r="B26" s="2">
        <v>0</v>
      </c>
      <c r="C26" s="2">
        <f t="shared" si="5"/>
        <v>10892253.166128058</v>
      </c>
      <c r="D26" s="2">
        <f t="shared" si="0"/>
        <v>11654710.887757022</v>
      </c>
      <c r="E26" s="3">
        <f>PMT(Annual_Rate/Payments___Year,Years*Payments___Year,SUM($B$7:B26))</f>
        <v>-254271.19021516526</v>
      </c>
      <c r="F26" s="7">
        <f t="shared" si="1"/>
        <v>435690.12664512231</v>
      </c>
      <c r="G26" s="3">
        <f t="shared" si="3"/>
        <v>181418.93642995704</v>
      </c>
      <c r="H26" s="2">
        <v>2159742.5066306177</v>
      </c>
      <c r="I26" s="7">
        <f t="shared" si="4"/>
        <v>9494968.3811264038</v>
      </c>
      <c r="J26" s="7">
        <f t="shared" si="2"/>
        <v>2960576.0228691241</v>
      </c>
    </row>
  </sheetData>
  <pageMargins left="0.7" right="0.7" top="0.75" bottom="0.75" header="0.3" footer="0.3"/>
  <headerFooter>
    <oddHeader>&amp;C&amp;"Calibri"&amp;12&amp;K000000 OFFICIAL&amp;1#_x000D_</oddHeader>
    <oddFooter xml:space="preserve">&amp;C_x000D_&amp;1#&amp;"Calibri"&amp;12&amp;K000000  OFFICIAL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527A-3BE5-4BA5-A375-284826528062}">
  <dimension ref="A1:P43"/>
  <sheetViews>
    <sheetView zoomScale="75" zoomScaleNormal="75" workbookViewId="0">
      <selection activeCell="Q36" sqref="Q36"/>
    </sheetView>
  </sheetViews>
  <sheetFormatPr defaultRowHeight="14.4" x14ac:dyDescent="0.3"/>
  <cols>
    <col min="1" max="1" width="16.88671875" bestFit="1" customWidth="1"/>
    <col min="2" max="4" width="11.77734375" bestFit="1" customWidth="1"/>
    <col min="5" max="5" width="12.88671875" bestFit="1" customWidth="1"/>
    <col min="6" max="6" width="10.77734375" bestFit="1" customWidth="1"/>
    <col min="10" max="10" width="3.44140625" bestFit="1" customWidth="1"/>
    <col min="11" max="15" width="9.5546875" bestFit="1" customWidth="1"/>
    <col min="16" max="16" width="11.21875" bestFit="1" customWidth="1"/>
  </cols>
  <sheetData>
    <row r="1" spans="1:16" x14ac:dyDescent="0.3">
      <c r="A1" t="s">
        <v>5</v>
      </c>
      <c r="B1" s="6">
        <v>0.06</v>
      </c>
    </row>
    <row r="2" spans="1:16" x14ac:dyDescent="0.3">
      <c r="A2" t="s">
        <v>13</v>
      </c>
      <c r="B2">
        <v>1</v>
      </c>
    </row>
    <row r="3" spans="1:16" x14ac:dyDescent="0.3">
      <c r="A3" t="s">
        <v>6</v>
      </c>
      <c r="B3">
        <v>30</v>
      </c>
      <c r="F3" s="3"/>
    </row>
    <row r="4" spans="1:16" x14ac:dyDescent="0.3">
      <c r="A4" t="s">
        <v>7</v>
      </c>
      <c r="B4" s="2">
        <v>90000</v>
      </c>
    </row>
    <row r="8" spans="1:16" x14ac:dyDescent="0.3">
      <c r="A8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14</v>
      </c>
      <c r="K8">
        <v>1</v>
      </c>
      <c r="L8">
        <v>2</v>
      </c>
      <c r="M8">
        <v>3</v>
      </c>
      <c r="N8">
        <v>4</v>
      </c>
      <c r="O8">
        <v>5</v>
      </c>
    </row>
    <row r="9" spans="1:16" x14ac:dyDescent="0.3">
      <c r="A9">
        <v>1</v>
      </c>
      <c r="B9" s="4">
        <f t="shared" ref="B9:B38" si="0">PMT(Annual_Rate/Payments___Year,Years*Payments___Year,Amount)</f>
        <v>-6538.4020341042497</v>
      </c>
      <c r="C9" s="4">
        <f t="shared" ref="C9:C38" si="1">PPMT(Annual_Rate/Payments___Year,A9,Years*Payments___Year,Amount)</f>
        <v>-1138.4020341042506</v>
      </c>
      <c r="D9" s="4">
        <f t="shared" ref="D9:D38" si="2">IPMT(Annual_Rate/Payments___Year,A9,Years*Payments___Year,Amount)</f>
        <v>-5400</v>
      </c>
      <c r="E9" s="4">
        <f>Amount+C9</f>
        <v>88861.597965895751</v>
      </c>
      <c r="F9" s="1">
        <f>B9/52</f>
        <v>-125.73850065585096</v>
      </c>
      <c r="J9" s="1">
        <v>1</v>
      </c>
      <c r="K9" s="2">
        <v>493675.54425497638</v>
      </c>
      <c r="L9" s="2"/>
      <c r="M9" s="2"/>
      <c r="N9" s="2"/>
      <c r="O9" s="2"/>
      <c r="P9" s="2">
        <f>SUM(K9:O9)</f>
        <v>493675.54425497638</v>
      </c>
    </row>
    <row r="10" spans="1:16" x14ac:dyDescent="0.3">
      <c r="A10">
        <v>2</v>
      </c>
      <c r="B10" s="4">
        <f t="shared" si="0"/>
        <v>-6538.4020341042497</v>
      </c>
      <c r="C10" s="4">
        <f t="shared" si="1"/>
        <v>-1206.7061561505054</v>
      </c>
      <c r="D10" s="4">
        <f t="shared" si="2"/>
        <v>-5331.6958779537445</v>
      </c>
      <c r="E10" s="4">
        <f>E9+C10</f>
        <v>87654.891809745241</v>
      </c>
      <c r="F10" s="1">
        <f>B10/52</f>
        <v>-125.73850065585096</v>
      </c>
      <c r="J10" s="1">
        <v>2</v>
      </c>
      <c r="K10" s="2">
        <v>486971.62116525136</v>
      </c>
      <c r="L10" s="2">
        <v>592410.65310597164</v>
      </c>
      <c r="M10" s="2"/>
      <c r="N10" s="2"/>
      <c r="O10" s="2"/>
      <c r="P10" s="2">
        <f t="shared" ref="P10:P43" si="3">SUM(K10:O10)</f>
        <v>1079382.274271223</v>
      </c>
    </row>
    <row r="11" spans="1:16" x14ac:dyDescent="0.3">
      <c r="A11">
        <v>3</v>
      </c>
      <c r="B11" s="4">
        <f t="shared" si="0"/>
        <v>-6538.4020341042497</v>
      </c>
      <c r="C11" s="4">
        <f t="shared" si="1"/>
        <v>-1279.108525519536</v>
      </c>
      <c r="D11" s="4">
        <f t="shared" si="2"/>
        <v>-5259.293508584713</v>
      </c>
      <c r="E11" s="4">
        <f t="shared" ref="E11:E38" si="4">E10+C11</f>
        <v>86375.783284225705</v>
      </c>
      <c r="F11" s="1">
        <f t="shared" ref="F11:F38" si="5">B11/52</f>
        <v>-125.73850065585096</v>
      </c>
      <c r="J11" s="1">
        <v>3</v>
      </c>
      <c r="K11" s="2">
        <v>479865.4626901428</v>
      </c>
      <c r="L11" s="2">
        <v>584365.94539830158</v>
      </c>
      <c r="M11" s="2">
        <v>691145.76195696695</v>
      </c>
      <c r="N11" s="2"/>
      <c r="O11" s="2"/>
      <c r="P11" s="2">
        <f t="shared" si="3"/>
        <v>1755377.1700454112</v>
      </c>
    </row>
    <row r="12" spans="1:16" x14ac:dyDescent="0.3">
      <c r="A12">
        <v>4</v>
      </c>
      <c r="B12" s="4">
        <f t="shared" si="0"/>
        <v>-6538.4020341042497</v>
      </c>
      <c r="C12" s="4">
        <f t="shared" si="1"/>
        <v>-1355.855037050708</v>
      </c>
      <c r="D12" s="4">
        <f t="shared" si="2"/>
        <v>-5182.5469970535414</v>
      </c>
      <c r="E12" s="4">
        <f t="shared" si="4"/>
        <v>85019.92824717499</v>
      </c>
      <c r="F12" s="1">
        <f t="shared" si="5"/>
        <v>-125.73850065585096</v>
      </c>
      <c r="J12" s="1">
        <v>4</v>
      </c>
      <c r="K12" s="2">
        <v>472332.93470652774</v>
      </c>
      <c r="L12" s="2">
        <v>575838.5552281714</v>
      </c>
      <c r="M12" s="2">
        <v>681760.26963135193</v>
      </c>
      <c r="N12" s="2">
        <v>789880.87080796226</v>
      </c>
      <c r="O12" s="2"/>
      <c r="P12" s="2">
        <f t="shared" si="3"/>
        <v>2519812.6303740134</v>
      </c>
    </row>
    <row r="13" spans="1:16" x14ac:dyDescent="0.3">
      <c r="A13">
        <v>5</v>
      </c>
      <c r="B13" s="4">
        <f t="shared" si="0"/>
        <v>-6538.4020341042497</v>
      </c>
      <c r="C13" s="4">
        <f t="shared" si="1"/>
        <v>-1437.2063392737505</v>
      </c>
      <c r="D13" s="4">
        <f t="shared" si="2"/>
        <v>-5101.1956948304996</v>
      </c>
      <c r="E13" s="4">
        <f t="shared" si="4"/>
        <v>83582.721907901243</v>
      </c>
      <c r="F13" s="1">
        <f t="shared" si="5"/>
        <v>-125.73850065585096</v>
      </c>
      <c r="J13" s="1">
        <v>5</v>
      </c>
      <c r="K13" s="2">
        <v>464348.45504389581</v>
      </c>
      <c r="L13" s="2">
        <v>566799.5216478334</v>
      </c>
      <c r="M13" s="2">
        <v>671811.64776620001</v>
      </c>
      <c r="N13" s="2">
        <v>779154.59386440227</v>
      </c>
      <c r="O13" s="2">
        <v>888615.97965895745</v>
      </c>
      <c r="P13" s="2">
        <f t="shared" si="3"/>
        <v>3370730.1979812891</v>
      </c>
    </row>
    <row r="14" spans="1:16" x14ac:dyDescent="0.3">
      <c r="A14">
        <v>6</v>
      </c>
      <c r="B14" s="4">
        <f t="shared" si="0"/>
        <v>-6538.4020341042497</v>
      </c>
      <c r="C14" s="4">
        <f t="shared" si="1"/>
        <v>-1523.4387196301755</v>
      </c>
      <c r="D14" s="4">
        <f t="shared" si="2"/>
        <v>-5014.9633144740747</v>
      </c>
      <c r="E14" s="4">
        <f t="shared" si="4"/>
        <v>82059.283188271074</v>
      </c>
      <c r="F14" s="1">
        <f t="shared" si="5"/>
        <v>-125.73850065585096</v>
      </c>
      <c r="J14" s="1">
        <v>6</v>
      </c>
      <c r="K14" s="2">
        <v>455884.90660150594</v>
      </c>
      <c r="L14" s="2">
        <v>557218.14605267509</v>
      </c>
      <c r="M14" s="2">
        <v>661266.10858913895</v>
      </c>
      <c r="N14" s="2">
        <v>767784.74030422862</v>
      </c>
      <c r="O14" s="2">
        <v>876548.91809745238</v>
      </c>
      <c r="P14" s="2">
        <f t="shared" si="3"/>
        <v>3318702.8196450006</v>
      </c>
    </row>
    <row r="15" spans="1:16" x14ac:dyDescent="0.3">
      <c r="A15">
        <v>7</v>
      </c>
      <c r="B15" s="4">
        <f t="shared" si="0"/>
        <v>-6538.4020341042497</v>
      </c>
      <c r="C15" s="4">
        <f t="shared" si="1"/>
        <v>-1614.8450428079861</v>
      </c>
      <c r="D15" s="4">
        <f t="shared" si="2"/>
        <v>-4923.5569912962637</v>
      </c>
      <c r="E15" s="4">
        <f t="shared" si="4"/>
        <v>80444.438145463093</v>
      </c>
      <c r="F15" s="1">
        <f t="shared" si="5"/>
        <v>-125.73850065585096</v>
      </c>
      <c r="J15" s="1">
        <v>7</v>
      </c>
      <c r="K15" s="2">
        <v>446913.54525257269</v>
      </c>
      <c r="L15" s="2">
        <v>547061.88792180724</v>
      </c>
      <c r="M15" s="2">
        <v>650087.83706145419</v>
      </c>
      <c r="N15" s="2">
        <v>755732.6955304445</v>
      </c>
      <c r="O15" s="2">
        <v>863757.83284225699</v>
      </c>
      <c r="P15" s="2">
        <f t="shared" si="3"/>
        <v>3263553.7986085354</v>
      </c>
    </row>
    <row r="16" spans="1:16" x14ac:dyDescent="0.3">
      <c r="A16">
        <v>8</v>
      </c>
      <c r="B16" s="4">
        <f t="shared" si="0"/>
        <v>-6538.4020341042497</v>
      </c>
      <c r="C16" s="4">
        <f t="shared" si="1"/>
        <v>-1711.735745376465</v>
      </c>
      <c r="D16" s="4">
        <f t="shared" si="2"/>
        <v>-4826.6662887277853</v>
      </c>
      <c r="E16" s="4">
        <f t="shared" si="4"/>
        <v>78732.702400086622</v>
      </c>
      <c r="F16" s="1">
        <f t="shared" si="5"/>
        <v>-125.73850065585096</v>
      </c>
      <c r="J16" s="1">
        <v>8</v>
      </c>
      <c r="K16" s="2">
        <v>437403.90222270344</v>
      </c>
      <c r="L16" s="2">
        <v>536296.25430308736</v>
      </c>
      <c r="M16" s="2">
        <v>638238.86924210843</v>
      </c>
      <c r="N16" s="2">
        <v>742957.52807023341</v>
      </c>
      <c r="O16" s="2">
        <v>850199.28247174993</v>
      </c>
      <c r="P16" s="2">
        <f t="shared" si="3"/>
        <v>3205095.8363098823</v>
      </c>
    </row>
    <row r="17" spans="1:16" x14ac:dyDescent="0.3">
      <c r="A17">
        <v>9</v>
      </c>
      <c r="B17" s="4">
        <f t="shared" si="0"/>
        <v>-6538.4020341042497</v>
      </c>
      <c r="C17" s="4">
        <f t="shared" si="1"/>
        <v>-1814.4398900990527</v>
      </c>
      <c r="D17" s="4">
        <f t="shared" si="2"/>
        <v>-4723.9621440051969</v>
      </c>
      <c r="E17" s="4">
        <f t="shared" si="4"/>
        <v>76918.262509987573</v>
      </c>
      <c r="F17" s="1">
        <f t="shared" si="5"/>
        <v>-125.73850065585096</v>
      </c>
      <c r="J17" s="1">
        <v>9</v>
      </c>
      <c r="K17" s="2">
        <v>427323.68061104201</v>
      </c>
      <c r="L17" s="2">
        <v>524884.68266724423</v>
      </c>
      <c r="M17" s="2">
        <v>625678.96335360187</v>
      </c>
      <c r="N17" s="2">
        <v>729415.85056240961</v>
      </c>
      <c r="O17" s="2">
        <v>835827.2190790124</v>
      </c>
      <c r="P17" s="2">
        <f t="shared" si="3"/>
        <v>3143130.3962733103</v>
      </c>
    </row>
    <row r="18" spans="1:16" x14ac:dyDescent="0.3">
      <c r="A18">
        <v>10</v>
      </c>
      <c r="B18" s="4">
        <f t="shared" si="0"/>
        <v>-6538.4020341042497</v>
      </c>
      <c r="C18" s="4">
        <f t="shared" si="1"/>
        <v>-1923.3062835049959</v>
      </c>
      <c r="D18" s="4">
        <f t="shared" si="2"/>
        <v>-4615.0957505992546</v>
      </c>
      <c r="E18" s="4">
        <f t="shared" si="4"/>
        <v>74994.95622648258</v>
      </c>
      <c r="F18" s="1">
        <f t="shared" si="5"/>
        <v>-125.73850065585096</v>
      </c>
      <c r="J18" s="1">
        <v>10</v>
      </c>
      <c r="K18" s="2">
        <v>416638.64570268092</v>
      </c>
      <c r="L18" s="2">
        <v>512788.41673325055</v>
      </c>
      <c r="M18" s="2">
        <v>612365.46311178489</v>
      </c>
      <c r="N18" s="2">
        <v>715061.67240411637</v>
      </c>
      <c r="O18" s="2">
        <v>820592.83188271069</v>
      </c>
      <c r="P18" s="2">
        <f t="shared" si="3"/>
        <v>3077447.0298345434</v>
      </c>
    </row>
    <row r="19" spans="1:16" x14ac:dyDescent="0.3">
      <c r="A19">
        <v>11</v>
      </c>
      <c r="B19" s="4">
        <f t="shared" si="0"/>
        <v>-6538.4020341042497</v>
      </c>
      <c r="C19" s="4">
        <f t="shared" si="1"/>
        <v>-2038.7046605152957</v>
      </c>
      <c r="D19" s="4">
        <f t="shared" si="2"/>
        <v>-4499.6973735889542</v>
      </c>
      <c r="E19" s="4">
        <f t="shared" si="4"/>
        <v>72956.251565967279</v>
      </c>
      <c r="F19" s="1">
        <f t="shared" si="5"/>
        <v>-125.73850065585096</v>
      </c>
      <c r="J19" s="1">
        <v>11</v>
      </c>
      <c r="K19" s="2">
        <v>405312.50869981817</v>
      </c>
      <c r="L19" s="2">
        <v>499966.37484321726</v>
      </c>
      <c r="M19" s="2">
        <v>598253.1528554589</v>
      </c>
      <c r="N19" s="2">
        <v>699846.24355632556</v>
      </c>
      <c r="O19" s="2">
        <v>804444.38145463087</v>
      </c>
      <c r="P19" s="2">
        <f t="shared" si="3"/>
        <v>3007822.6614094507</v>
      </c>
    </row>
    <row r="20" spans="1:16" x14ac:dyDescent="0.3">
      <c r="A20">
        <v>12</v>
      </c>
      <c r="B20" s="4">
        <f t="shared" si="0"/>
        <v>-6538.4020341042497</v>
      </c>
      <c r="C20" s="4">
        <f t="shared" si="1"/>
        <v>-2161.0269401462133</v>
      </c>
      <c r="D20" s="4">
        <f t="shared" si="2"/>
        <v>-4377.3750939580359</v>
      </c>
      <c r="E20" s="4">
        <f t="shared" si="4"/>
        <v>70795.224625821065</v>
      </c>
      <c r="F20" s="1">
        <f t="shared" si="5"/>
        <v>-125.73850065585096</v>
      </c>
      <c r="J20" s="1">
        <v>12</v>
      </c>
      <c r="K20" s="2">
        <v>393306.80347678362</v>
      </c>
      <c r="L20" s="2">
        <v>486375.01043978194</v>
      </c>
      <c r="M20" s="2">
        <v>583294.10398375336</v>
      </c>
      <c r="N20" s="2">
        <v>683717.88897766732</v>
      </c>
      <c r="O20" s="2">
        <v>787327.02400086622</v>
      </c>
      <c r="P20" s="2">
        <f t="shared" si="3"/>
        <v>2934020.8308788529</v>
      </c>
    </row>
    <row r="21" spans="1:16" x14ac:dyDescent="0.3">
      <c r="A21">
        <v>13</v>
      </c>
      <c r="B21" s="4">
        <f t="shared" si="0"/>
        <v>-6538.4020341042497</v>
      </c>
      <c r="C21" s="4">
        <f t="shared" si="1"/>
        <v>-2290.688556554986</v>
      </c>
      <c r="D21" s="4">
        <f t="shared" si="2"/>
        <v>-4247.7134775492641</v>
      </c>
      <c r="E21" s="4">
        <f t="shared" si="4"/>
        <v>68504.536069266076</v>
      </c>
      <c r="F21" s="1">
        <f t="shared" si="5"/>
        <v>-125.73850065585096</v>
      </c>
      <c r="J21" s="1">
        <v>13</v>
      </c>
      <c r="K21" s="2">
        <v>380580.755940367</v>
      </c>
      <c r="L21" s="2">
        <v>471968.16417214053</v>
      </c>
      <c r="M21" s="2">
        <v>567437.51217974548</v>
      </c>
      <c r="N21" s="2">
        <v>666621.83312428952</v>
      </c>
      <c r="O21" s="2">
        <v>769182.62509987573</v>
      </c>
      <c r="P21" s="2">
        <f t="shared" si="3"/>
        <v>2855790.890516418</v>
      </c>
    </row>
    <row r="22" spans="1:16" x14ac:dyDescent="0.3">
      <c r="A22">
        <v>14</v>
      </c>
      <c r="B22" s="4">
        <f t="shared" si="0"/>
        <v>-6538.4020341042497</v>
      </c>
      <c r="C22" s="4">
        <f t="shared" si="1"/>
        <v>-2428.1298699482854</v>
      </c>
      <c r="D22" s="4">
        <f t="shared" si="2"/>
        <v>-4110.2721641559656</v>
      </c>
      <c r="E22" s="4">
        <f t="shared" si="4"/>
        <v>66076.406199317789</v>
      </c>
      <c r="F22" s="1">
        <f t="shared" si="5"/>
        <v>-125.73850065585096</v>
      </c>
      <c r="J22" s="1">
        <v>14</v>
      </c>
      <c r="K22" s="2">
        <v>367091.1455517654</v>
      </c>
      <c r="L22" s="2">
        <v>456696.90712844062</v>
      </c>
      <c r="M22" s="2">
        <v>550629.52486749715</v>
      </c>
      <c r="N22" s="2">
        <v>648500.01391970913</v>
      </c>
      <c r="O22" s="2">
        <v>749949.5622648258</v>
      </c>
      <c r="P22" s="2">
        <f t="shared" si="3"/>
        <v>2772867.1537322379</v>
      </c>
    </row>
    <row r="23" spans="1:16" x14ac:dyDescent="0.3">
      <c r="A23">
        <v>15</v>
      </c>
      <c r="B23" s="4">
        <f t="shared" si="0"/>
        <v>-6538.4020341042497</v>
      </c>
      <c r="C23" s="4">
        <f t="shared" si="1"/>
        <v>-2573.8176621451826</v>
      </c>
      <c r="D23" s="4">
        <f t="shared" si="2"/>
        <v>-3964.5843719590671</v>
      </c>
      <c r="E23" s="4">
        <f t="shared" si="4"/>
        <v>63502.588537172604</v>
      </c>
      <c r="F23" s="1">
        <f t="shared" si="5"/>
        <v>-125.73850065585096</v>
      </c>
      <c r="J23" s="1">
        <v>15</v>
      </c>
      <c r="K23" s="2">
        <v>352792.1585398477</v>
      </c>
      <c r="L23" s="2">
        <v>440509.37466211873</v>
      </c>
      <c r="M23" s="2">
        <v>532813.0583165139</v>
      </c>
      <c r="N23" s="2">
        <v>629290.88556285389</v>
      </c>
      <c r="O23" s="2">
        <v>729562.51565967279</v>
      </c>
      <c r="P23" s="2">
        <f t="shared" si="3"/>
        <v>2684967.9927410069</v>
      </c>
    </row>
    <row r="24" spans="1:16" x14ac:dyDescent="0.3">
      <c r="A24">
        <v>16</v>
      </c>
      <c r="B24" s="4">
        <f t="shared" si="0"/>
        <v>-6538.4020341042497</v>
      </c>
      <c r="C24" s="4">
        <f t="shared" si="1"/>
        <v>-2728.2467218738939</v>
      </c>
      <c r="D24" s="4">
        <f t="shared" si="2"/>
        <v>-3810.1553122303567</v>
      </c>
      <c r="E24" s="4">
        <f t="shared" si="4"/>
        <v>60774.341815298707</v>
      </c>
      <c r="F24" s="1">
        <f t="shared" si="5"/>
        <v>-125.73850065585096</v>
      </c>
      <c r="J24" s="1">
        <v>16</v>
      </c>
      <c r="K24" s="2">
        <v>337635.23230721499</v>
      </c>
      <c r="L24" s="2">
        <v>423350.59024781751</v>
      </c>
      <c r="M24" s="2">
        <v>513927.60377247166</v>
      </c>
      <c r="N24" s="2">
        <v>608929.20950458734</v>
      </c>
      <c r="O24" s="2">
        <v>707952.24625821062</v>
      </c>
      <c r="P24" s="2">
        <f t="shared" si="3"/>
        <v>2591794.8820903022</v>
      </c>
    </row>
    <row r="25" spans="1:16" x14ac:dyDescent="0.3">
      <c r="A25">
        <v>17</v>
      </c>
      <c r="B25" s="4">
        <f t="shared" si="0"/>
        <v>-6538.4020341042497</v>
      </c>
      <c r="C25" s="4">
        <f t="shared" si="1"/>
        <v>-2891.9415251863275</v>
      </c>
      <c r="D25" s="4">
        <f t="shared" si="2"/>
        <v>-3646.4605089179222</v>
      </c>
      <c r="E25" s="4">
        <f t="shared" si="4"/>
        <v>57882.400290112382</v>
      </c>
      <c r="F25" s="1">
        <f t="shared" si="5"/>
        <v>-125.73850065585096</v>
      </c>
      <c r="J25" s="1">
        <v>17</v>
      </c>
      <c r="K25" s="2">
        <v>321568.89050062426</v>
      </c>
      <c r="L25" s="2">
        <v>405162.27876865823</v>
      </c>
      <c r="M25" s="2">
        <v>493909.02195578691</v>
      </c>
      <c r="N25" s="2">
        <v>587345.83288282482</v>
      </c>
      <c r="O25" s="2">
        <v>685045.36069266079</v>
      </c>
      <c r="P25" s="2">
        <f t="shared" si="3"/>
        <v>2493031.3848005552</v>
      </c>
    </row>
    <row r="26" spans="1:16" x14ac:dyDescent="0.3">
      <c r="A26">
        <v>18</v>
      </c>
      <c r="B26" s="4">
        <f t="shared" si="0"/>
        <v>-6538.4020341042497</v>
      </c>
      <c r="C26" s="4">
        <f t="shared" si="1"/>
        <v>-3065.458016697507</v>
      </c>
      <c r="D26" s="4">
        <f t="shared" si="2"/>
        <v>-3472.9440174067431</v>
      </c>
      <c r="E26" s="4">
        <f t="shared" si="4"/>
        <v>54816.942273414876</v>
      </c>
      <c r="F26" s="1">
        <f t="shared" si="5"/>
        <v>-125.73850065585096</v>
      </c>
      <c r="J26" s="1">
        <v>18</v>
      </c>
      <c r="K26" s="2">
        <v>304538.56818563811</v>
      </c>
      <c r="L26" s="2">
        <v>385882.6686007494</v>
      </c>
      <c r="M26" s="2">
        <v>472689.32523010107</v>
      </c>
      <c r="N26" s="2">
        <v>564467.45366375649</v>
      </c>
      <c r="O26" s="2">
        <v>660764.06199317798</v>
      </c>
      <c r="P26" s="2">
        <f t="shared" si="3"/>
        <v>2388342.0776734231</v>
      </c>
    </row>
    <row r="27" spans="1:16" x14ac:dyDescent="0.3">
      <c r="A27">
        <v>19</v>
      </c>
      <c r="B27" s="4">
        <f t="shared" si="0"/>
        <v>-6538.4020341042497</v>
      </c>
      <c r="C27" s="4">
        <f t="shared" si="1"/>
        <v>-3249.3854976993575</v>
      </c>
      <c r="D27" s="4">
        <f t="shared" si="2"/>
        <v>-3289.0165364048926</v>
      </c>
      <c r="E27" s="4">
        <f t="shared" si="4"/>
        <v>51567.556775715515</v>
      </c>
      <c r="F27" s="1">
        <f t="shared" si="5"/>
        <v>-125.73850065585096</v>
      </c>
      <c r="J27" s="1">
        <v>19</v>
      </c>
      <c r="K27" s="2">
        <v>286486.4265317528</v>
      </c>
      <c r="L27" s="2">
        <v>365446.281822766</v>
      </c>
      <c r="M27" s="2">
        <v>450196.44670087408</v>
      </c>
      <c r="N27" s="2">
        <v>540216.37169154407</v>
      </c>
      <c r="O27" s="2">
        <v>635025.88537172612</v>
      </c>
      <c r="P27" s="2">
        <f t="shared" si="3"/>
        <v>2277371.4121186631</v>
      </c>
    </row>
    <row r="28" spans="1:16" x14ac:dyDescent="0.3">
      <c r="A28">
        <v>20</v>
      </c>
      <c r="B28" s="4">
        <f t="shared" si="0"/>
        <v>-6538.4020341042497</v>
      </c>
      <c r="C28" s="4">
        <f t="shared" si="1"/>
        <v>-3444.3486275613186</v>
      </c>
      <c r="D28" s="4">
        <f t="shared" si="2"/>
        <v>-3094.053406542931</v>
      </c>
      <c r="E28" s="4">
        <f t="shared" si="4"/>
        <v>48123.208148154197</v>
      </c>
      <c r="F28" s="1">
        <f t="shared" si="5"/>
        <v>-125.73850065585096</v>
      </c>
      <c r="J28" s="1">
        <v>20</v>
      </c>
      <c r="K28" s="2">
        <v>267351.15637863439</v>
      </c>
      <c r="L28" s="2">
        <v>343783.7118381036</v>
      </c>
      <c r="M28" s="2">
        <v>426353.99545989349</v>
      </c>
      <c r="N28" s="2">
        <v>514510.22480099893</v>
      </c>
      <c r="O28" s="2">
        <v>607743.41815298714</v>
      </c>
      <c r="P28" s="2">
        <f t="shared" si="3"/>
        <v>2159742.5066306177</v>
      </c>
    </row>
    <row r="29" spans="1:16" x14ac:dyDescent="0.3">
      <c r="A29">
        <v>21</v>
      </c>
      <c r="B29" s="4">
        <f t="shared" si="0"/>
        <v>-6538.4020341042497</v>
      </c>
      <c r="C29" s="4">
        <f t="shared" si="1"/>
        <v>-3651.0095452149976</v>
      </c>
      <c r="D29" s="4">
        <f t="shared" si="2"/>
        <v>-2887.392488889252</v>
      </c>
      <c r="E29" s="4">
        <f t="shared" si="4"/>
        <v>44472.198602939199</v>
      </c>
      <c r="F29" s="1">
        <f t="shared" si="5"/>
        <v>-125.73850065585096</v>
      </c>
      <c r="J29" s="1">
        <v>21</v>
      </c>
      <c r="K29" s="2">
        <v>247067.77001632884</v>
      </c>
      <c r="L29" s="2">
        <v>320821.38765436149</v>
      </c>
      <c r="M29" s="2">
        <v>401080.99714445404</v>
      </c>
      <c r="N29" s="2">
        <v>487261.70909702108</v>
      </c>
      <c r="O29" s="2">
        <v>578824.00290112384</v>
      </c>
      <c r="P29" s="2">
        <f t="shared" si="3"/>
        <v>2035055.8668132892</v>
      </c>
    </row>
    <row r="30" spans="1:16" x14ac:dyDescent="0.3">
      <c r="A30">
        <v>22</v>
      </c>
      <c r="B30" s="4">
        <f t="shared" si="0"/>
        <v>-6538.4020341042497</v>
      </c>
      <c r="C30" s="4">
        <f t="shared" si="1"/>
        <v>-3870.0701179278976</v>
      </c>
      <c r="D30" s="4">
        <f t="shared" si="2"/>
        <v>-2668.3319161763525</v>
      </c>
      <c r="E30" s="4">
        <f t="shared" si="4"/>
        <v>40602.128485011301</v>
      </c>
      <c r="F30" s="1">
        <f t="shared" si="5"/>
        <v>-125.73850065585096</v>
      </c>
      <c r="J30" s="1">
        <v>22</v>
      </c>
      <c r="K30" s="2">
        <v>225567.38047228497</v>
      </c>
      <c r="L30" s="2">
        <v>296481.32401959482</v>
      </c>
      <c r="M30" s="2">
        <v>374291.61893008824</v>
      </c>
      <c r="N30" s="2">
        <v>458378.2824508046</v>
      </c>
      <c r="O30" s="2">
        <v>548169.4227341488</v>
      </c>
      <c r="P30" s="2">
        <f t="shared" si="3"/>
        <v>1902888.0286069214</v>
      </c>
    </row>
    <row r="31" spans="1:16" x14ac:dyDescent="0.3">
      <c r="A31">
        <v>23</v>
      </c>
      <c r="B31" s="4">
        <f t="shared" si="0"/>
        <v>-6538.4020341042497</v>
      </c>
      <c r="C31" s="4">
        <f t="shared" si="1"/>
        <v>-4102.274325003571</v>
      </c>
      <c r="D31" s="4">
        <f t="shared" si="2"/>
        <v>-2436.1277091006777</v>
      </c>
      <c r="E31" s="4">
        <f t="shared" si="4"/>
        <v>36499.85416000773</v>
      </c>
      <c r="F31" s="1">
        <f t="shared" si="5"/>
        <v>-125.73850065585096</v>
      </c>
      <c r="J31" s="1">
        <v>23</v>
      </c>
      <c r="K31" s="2">
        <v>202776.96755559847</v>
      </c>
      <c r="L31" s="2">
        <v>270680.85656674218</v>
      </c>
      <c r="M31" s="2">
        <v>345894.8780228605</v>
      </c>
      <c r="N31" s="2">
        <v>427761.85020581511</v>
      </c>
      <c r="O31" s="2">
        <v>515675.56775715522</v>
      </c>
      <c r="P31" s="2">
        <f t="shared" si="3"/>
        <v>1762790.1201081716</v>
      </c>
    </row>
    <row r="32" spans="1:16" x14ac:dyDescent="0.3">
      <c r="A32">
        <v>24</v>
      </c>
      <c r="B32" s="4">
        <f t="shared" si="0"/>
        <v>-6538.4020341042497</v>
      </c>
      <c r="C32" s="4">
        <f t="shared" si="1"/>
        <v>-4348.4107845037861</v>
      </c>
      <c r="D32" s="4">
        <f t="shared" si="2"/>
        <v>-2189.991249600464</v>
      </c>
      <c r="E32" s="4">
        <f t="shared" si="4"/>
        <v>32151.443375503943</v>
      </c>
      <c r="F32" s="1">
        <f t="shared" si="5"/>
        <v>-125.73850065585096</v>
      </c>
      <c r="J32" s="1">
        <v>24</v>
      </c>
      <c r="K32" s="2">
        <v>178619.12986391078</v>
      </c>
      <c r="L32" s="2">
        <v>243332.36106671838</v>
      </c>
      <c r="M32" s="2">
        <v>315794.33266119909</v>
      </c>
      <c r="N32" s="2">
        <v>395308.43202612625</v>
      </c>
      <c r="O32" s="2">
        <v>481232.08148154203</v>
      </c>
      <c r="P32" s="2">
        <f t="shared" si="3"/>
        <v>1614286.3370994965</v>
      </c>
    </row>
    <row r="33" spans="1:16" x14ac:dyDescent="0.3">
      <c r="A33">
        <v>25</v>
      </c>
      <c r="B33" s="4">
        <f t="shared" si="0"/>
        <v>-6538.4020341042497</v>
      </c>
      <c r="C33" s="4">
        <f t="shared" si="1"/>
        <v>-4609.315431574013</v>
      </c>
      <c r="D33" s="4">
        <f t="shared" si="2"/>
        <v>-1929.0866025302366</v>
      </c>
      <c r="E33" s="4">
        <f t="shared" si="4"/>
        <v>27542.127943929929</v>
      </c>
      <c r="F33" s="1">
        <f t="shared" si="5"/>
        <v>-125.73850065585096</v>
      </c>
      <c r="J33" s="1">
        <v>25</v>
      </c>
      <c r="K33" s="2">
        <v>153011.82191072183</v>
      </c>
      <c r="L33" s="2">
        <v>214342.95583669315</v>
      </c>
      <c r="M33" s="2">
        <v>283887.754577838</v>
      </c>
      <c r="N33" s="2">
        <v>360907.80875565606</v>
      </c>
      <c r="O33" s="2">
        <v>444721.98602939205</v>
      </c>
      <c r="P33" s="2">
        <f t="shared" si="3"/>
        <v>1456872.3271103012</v>
      </c>
    </row>
    <row r="34" spans="1:16" x14ac:dyDescent="0.3">
      <c r="A34">
        <v>26</v>
      </c>
      <c r="B34" s="4">
        <f t="shared" si="0"/>
        <v>-6538.4020341042497</v>
      </c>
      <c r="C34" s="4">
        <f t="shared" si="1"/>
        <v>-4885.874357468454</v>
      </c>
      <c r="D34" s="4">
        <f t="shared" si="2"/>
        <v>-1652.5276766357965</v>
      </c>
      <c r="E34" s="4">
        <f t="shared" si="4"/>
        <v>22656.253586461477</v>
      </c>
      <c r="F34" s="1">
        <f t="shared" si="5"/>
        <v>-125.73850065585096</v>
      </c>
      <c r="J34" s="1">
        <v>26</v>
      </c>
      <c r="K34" s="2">
        <v>125868.07548034153</v>
      </c>
      <c r="L34" s="2">
        <v>183614.18629286639</v>
      </c>
      <c r="M34" s="2">
        <v>250066.78180947521</v>
      </c>
      <c r="N34" s="2">
        <v>324443.14808895765</v>
      </c>
      <c r="O34" s="2">
        <v>406021.28485011309</v>
      </c>
      <c r="P34" s="2">
        <f t="shared" si="3"/>
        <v>1290013.4765217539</v>
      </c>
    </row>
    <row r="35" spans="1:16" x14ac:dyDescent="0.3">
      <c r="A35">
        <v>27</v>
      </c>
      <c r="B35" s="4">
        <f t="shared" si="0"/>
        <v>-6538.4020341042497</v>
      </c>
      <c r="C35" s="4">
        <f t="shared" si="1"/>
        <v>-5179.0268189165618</v>
      </c>
      <c r="D35" s="4">
        <f t="shared" si="2"/>
        <v>-1359.3752151876893</v>
      </c>
      <c r="E35" s="4">
        <f t="shared" si="4"/>
        <v>17477.226767544915</v>
      </c>
      <c r="F35" s="1">
        <f t="shared" si="5"/>
        <v>-125.73850065585096</v>
      </c>
      <c r="J35" s="1">
        <v>27</v>
      </c>
      <c r="K35" s="2">
        <v>97095.704264138418</v>
      </c>
      <c r="L35" s="2">
        <v>151041.69057641004</v>
      </c>
      <c r="M35" s="2">
        <v>214216.55067501066</v>
      </c>
      <c r="N35" s="2">
        <v>285790.60778225731</v>
      </c>
      <c r="O35" s="2">
        <v>364998.54160007735</v>
      </c>
      <c r="P35" s="2">
        <f t="shared" si="3"/>
        <v>1113143.0948978937</v>
      </c>
    </row>
    <row r="36" spans="1:16" x14ac:dyDescent="0.3">
      <c r="A36">
        <v>28</v>
      </c>
      <c r="B36" s="4">
        <f t="shared" si="0"/>
        <v>-6538.4020341042497</v>
      </c>
      <c r="C36" s="4">
        <f t="shared" si="1"/>
        <v>-5489.7684280515541</v>
      </c>
      <c r="D36" s="4">
        <f t="shared" si="2"/>
        <v>-1048.6336060526955</v>
      </c>
      <c r="E36" s="4">
        <f t="shared" si="4"/>
        <v>11987.458339493362</v>
      </c>
      <c r="F36" s="1">
        <f t="shared" si="5"/>
        <v>-125.73850065585096</v>
      </c>
      <c r="J36" s="1">
        <v>28</v>
      </c>
      <c r="K36" s="2">
        <v>66596.990774963109</v>
      </c>
      <c r="L36" s="2">
        <v>116514.8451169663</v>
      </c>
      <c r="M36" s="2">
        <v>176215.30567247822</v>
      </c>
      <c r="N36" s="2">
        <v>244818.91505715498</v>
      </c>
      <c r="O36" s="2">
        <v>321514.43375503947</v>
      </c>
      <c r="P36" s="2">
        <f t="shared" si="3"/>
        <v>925660.49037660204</v>
      </c>
    </row>
    <row r="37" spans="1:16" x14ac:dyDescent="0.3">
      <c r="A37">
        <v>29</v>
      </c>
      <c r="B37" s="4">
        <f t="shared" si="0"/>
        <v>-6538.4020341042497</v>
      </c>
      <c r="C37" s="4">
        <f t="shared" si="1"/>
        <v>-5819.1545337346479</v>
      </c>
      <c r="D37" s="4">
        <f t="shared" si="2"/>
        <v>-719.24750036960234</v>
      </c>
      <c r="E37" s="4">
        <f t="shared" si="4"/>
        <v>6168.3038057587137</v>
      </c>
      <c r="F37" s="1">
        <f t="shared" si="5"/>
        <v>-125.73850065585096</v>
      </c>
      <c r="J37" s="1">
        <v>29</v>
      </c>
      <c r="K37" s="2">
        <v>34268.354476437285</v>
      </c>
      <c r="L37" s="2">
        <v>79916.388929955938</v>
      </c>
      <c r="M37" s="2">
        <v>135933.98596979387</v>
      </c>
      <c r="N37" s="2">
        <v>201388.92076854652</v>
      </c>
      <c r="O37" s="2">
        <v>275421.27943929937</v>
      </c>
      <c r="P37" s="2">
        <f t="shared" si="3"/>
        <v>726928.92958403297</v>
      </c>
    </row>
    <row r="38" spans="1:16" x14ac:dyDescent="0.3">
      <c r="A38">
        <v>30</v>
      </c>
      <c r="B38" s="4">
        <f t="shared" si="0"/>
        <v>-6538.4020341042497</v>
      </c>
      <c r="C38" s="4">
        <f t="shared" si="1"/>
        <v>-6168.3038057587264</v>
      </c>
      <c r="D38" s="4">
        <f t="shared" si="2"/>
        <v>-370.09822834552358</v>
      </c>
      <c r="E38" s="4">
        <f t="shared" si="4"/>
        <v>-1.2732925824820995E-11</v>
      </c>
      <c r="F38" s="1">
        <f t="shared" si="5"/>
        <v>-125.73850065585096</v>
      </c>
      <c r="J38" s="1">
        <v>30</v>
      </c>
      <c r="K38" s="2">
        <v>-8.7311491370201111E-11</v>
      </c>
      <c r="L38" s="2">
        <v>41122.025371724951</v>
      </c>
      <c r="M38" s="2">
        <v>93235.787084948446</v>
      </c>
      <c r="N38" s="2">
        <v>155353.12682262153</v>
      </c>
      <c r="O38" s="2">
        <v>226562.53586461482</v>
      </c>
      <c r="P38" s="2">
        <f t="shared" si="3"/>
        <v>516273.47514390963</v>
      </c>
    </row>
    <row r="39" spans="1:16" x14ac:dyDescent="0.3">
      <c r="J39" s="1">
        <v>31</v>
      </c>
      <c r="K39" s="2"/>
      <c r="L39" s="2">
        <v>1.0913936421275139E-10</v>
      </c>
      <c r="M39" s="2">
        <v>47975.696267012296</v>
      </c>
      <c r="N39" s="2">
        <v>106555.18523994106</v>
      </c>
      <c r="O39" s="2">
        <v>174772.2676754492</v>
      </c>
      <c r="P39" s="2">
        <f t="shared" si="3"/>
        <v>329303.14918240265</v>
      </c>
    </row>
    <row r="40" spans="1:16" x14ac:dyDescent="0.3">
      <c r="J40" s="1">
        <v>32</v>
      </c>
      <c r="K40" s="2"/>
      <c r="L40" s="2">
        <v>0</v>
      </c>
      <c r="M40" s="2">
        <v>0</v>
      </c>
      <c r="N40" s="2">
        <v>54829.36716229975</v>
      </c>
      <c r="O40" s="2">
        <v>119874.58339493365</v>
      </c>
      <c r="P40" s="2">
        <f t="shared" si="3"/>
        <v>174703.95055723342</v>
      </c>
    </row>
    <row r="41" spans="1:16" x14ac:dyDescent="0.3">
      <c r="J41" s="1">
        <v>33</v>
      </c>
      <c r="K41" s="2"/>
      <c r="L41" s="2">
        <v>0</v>
      </c>
      <c r="M41" s="2">
        <v>0</v>
      </c>
      <c r="N41" s="2">
        <v>0</v>
      </c>
      <c r="O41" s="2">
        <v>61683.038057587175</v>
      </c>
      <c r="P41" s="2">
        <f t="shared" si="3"/>
        <v>61683.038057587175</v>
      </c>
    </row>
    <row r="42" spans="1:16" x14ac:dyDescent="0.3">
      <c r="J42" s="1">
        <v>34</v>
      </c>
      <c r="K42" s="2"/>
      <c r="L42" s="2">
        <v>0</v>
      </c>
      <c r="M42" s="2">
        <v>0</v>
      </c>
      <c r="N42" s="2">
        <v>0</v>
      </c>
      <c r="O42" s="2">
        <v>-9.4587448984384537E-11</v>
      </c>
      <c r="P42" s="2">
        <f t="shared" si="3"/>
        <v>-9.4587448984384537E-11</v>
      </c>
    </row>
    <row r="43" spans="1:16" x14ac:dyDescent="0.3">
      <c r="J43" s="1">
        <v>35</v>
      </c>
      <c r="P43" s="2">
        <f t="shared" si="3"/>
        <v>0</v>
      </c>
    </row>
  </sheetData>
  <pageMargins left="0.7" right="0.7" top="0.75" bottom="0.75" header="0.3" footer="0.3"/>
  <ignoredErrors>
    <ignoredError sqref="P9" formulaRange="1"/>
  </ignoredErrors>
</worksheet>
</file>

<file path=docMetadata/LabelInfo.xml><?xml version="1.0" encoding="utf-8"?>
<clbl:labelList xmlns:clbl="http://schemas.microsoft.com/office/2020/mipLabelMetadata">
  <clbl:label id="{9073d66e-15fd-4cab-8cb6-e25004932d06}" enabled="1" method="Standard" siteId="{45d5d807-c5ae-44c5-bb86-42f20fdebfe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main</vt:lpstr>
      <vt:lpstr>finance</vt:lpstr>
      <vt:lpstr>Amount</vt:lpstr>
      <vt:lpstr>Annual_Rate</vt:lpstr>
      <vt:lpstr>cap_appreciation_rate</vt:lpstr>
      <vt:lpstr>inflation</vt:lpstr>
      <vt:lpstr>Payments___Year</vt:lpstr>
      <vt:lpstr>Years</vt:lpstr>
      <vt:lpstr>yield_rate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Jose.BibinM[HRDIV]</dc:creator>
  <cp:lastModifiedBy>Jose.BibinM[HRDIV]</cp:lastModifiedBy>
  <dcterms:created xsi:type="dcterms:W3CDTF">2025-11-13T01:01:54Z</dcterms:created>
  <dcterms:modified xsi:type="dcterms:W3CDTF">2025-11-13T05:40:34Z</dcterms:modified>
</cp:coreProperties>
</file>