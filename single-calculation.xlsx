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bmj/Library/CloudStorage/GoogleDrive-bibinmjose@gmail.com/My Drive/🏡 Documents/InvestmentProperty/TBD/housemarket/"/>
    </mc:Choice>
  </mc:AlternateContent>
  <xr:revisionPtr revIDLastSave="0" documentId="13_ncr:1_{F50B62FA-C751-284C-AFE7-66DC98CB7C65}" xr6:coauthVersionLast="47" xr6:coauthVersionMax="47" xr10:uidLastSave="{00000000-0000-0000-0000-000000000000}"/>
  <bookViews>
    <workbookView xWindow="0" yWindow="800" windowWidth="36000" windowHeight="21320" xr2:uid="{61E349DD-C396-4897-954F-94B6F0CC0F58}"/>
  </bookViews>
  <sheets>
    <sheet name="finance" sheetId="2" r:id="rId1"/>
  </sheets>
  <definedNames>
    <definedName name="Amount">finance!$B$4</definedName>
    <definedName name="Annual_Rate">finance!$B$1</definedName>
    <definedName name="cap_appreciation_rate">finance!$E$1</definedName>
    <definedName name="Initial_Value">finance!$B$5</definedName>
    <definedName name="Payments___Year">finance!$B$2</definedName>
    <definedName name="rental_growth">finance!$E$4</definedName>
    <definedName name="rental_income">finance!$E$2</definedName>
    <definedName name="rental_yield">finance!$E$3</definedName>
    <definedName name="tax_rate">finance!$E$5</definedName>
    <definedName name="Years">finance!$B$3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" l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K28" i="2"/>
  <c r="F28" i="2" s="1"/>
  <c r="K29" i="2" l="1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29" i="2"/>
  <c r="C29" i="2"/>
  <c r="D29" i="2"/>
  <c r="D28" i="2"/>
  <c r="C28" i="2"/>
  <c r="E28" i="2" s="1"/>
  <c r="I28" i="2" s="1"/>
  <c r="B28" i="2"/>
  <c r="N28" i="2" l="1"/>
  <c r="M28" i="2" s="1"/>
  <c r="J35" i="2"/>
  <c r="J30" i="2"/>
  <c r="J39" i="2"/>
  <c r="J48" i="2"/>
  <c r="J34" i="2"/>
  <c r="J44" i="2"/>
  <c r="J53" i="2"/>
  <c r="J57" i="2"/>
  <c r="J43" i="2"/>
  <c r="J54" i="2"/>
  <c r="J40" i="2"/>
  <c r="J52" i="2"/>
  <c r="J38" i="2"/>
  <c r="J47" i="2"/>
  <c r="J33" i="2"/>
  <c r="J49" i="2"/>
  <c r="J29" i="2"/>
  <c r="J56" i="2"/>
  <c r="J42" i="2"/>
  <c r="J51" i="2"/>
  <c r="J37" i="2"/>
  <c r="J32" i="2"/>
  <c r="J55" i="2"/>
  <c r="J41" i="2"/>
  <c r="J46" i="2"/>
  <c r="J28" i="2"/>
  <c r="J50" i="2"/>
  <c r="J36" i="2"/>
  <c r="J45" i="2"/>
  <c r="J31" i="2"/>
  <c r="F29" i="2"/>
  <c r="N29" i="2" s="1"/>
  <c r="M29" i="2" s="1"/>
  <c r="K30" i="2"/>
  <c r="E29" i="2"/>
  <c r="I29" i="2" s="1"/>
  <c r="G29" i="2" l="1"/>
  <c r="F30" i="2"/>
  <c r="K31" i="2"/>
  <c r="E30" i="2"/>
  <c r="I30" i="2" s="1"/>
  <c r="N30" i="2" l="1"/>
  <c r="M30" i="2" s="1"/>
  <c r="G30" i="2" s="1"/>
  <c r="K32" i="2"/>
  <c r="F31" i="2"/>
  <c r="E31" i="2"/>
  <c r="I31" i="2" s="1"/>
  <c r="N31" i="2" l="1"/>
  <c r="M31" i="2" s="1"/>
  <c r="G31" i="2" s="1"/>
  <c r="K33" i="2"/>
  <c r="F32" i="2"/>
  <c r="E32" i="2"/>
  <c r="I32" i="2" s="1"/>
  <c r="N32" i="2" l="1"/>
  <c r="M32" i="2" s="1"/>
  <c r="G32" i="2" s="1"/>
  <c r="K34" i="2"/>
  <c r="F33" i="2"/>
  <c r="E33" i="2"/>
  <c r="I33" i="2" s="1"/>
  <c r="N33" i="2" l="1"/>
  <c r="M33" i="2" s="1"/>
  <c r="G33" i="2" s="1"/>
  <c r="K35" i="2"/>
  <c r="F34" i="2"/>
  <c r="E34" i="2"/>
  <c r="I34" i="2" s="1"/>
  <c r="N34" i="2" l="1"/>
  <c r="M34" i="2" s="1"/>
  <c r="G34" i="2" s="1"/>
  <c r="K36" i="2"/>
  <c r="F35" i="2"/>
  <c r="E35" i="2"/>
  <c r="I35" i="2" s="1"/>
  <c r="N35" i="2" l="1"/>
  <c r="M35" i="2" s="1"/>
  <c r="G35" i="2" s="1"/>
  <c r="K37" i="2"/>
  <c r="F36" i="2"/>
  <c r="E36" i="2"/>
  <c r="I36" i="2" s="1"/>
  <c r="N36" i="2" l="1"/>
  <c r="M36" i="2" s="1"/>
  <c r="G36" i="2" s="1"/>
  <c r="K38" i="2"/>
  <c r="F37" i="2"/>
  <c r="E37" i="2"/>
  <c r="I37" i="2" s="1"/>
  <c r="N37" i="2" l="1"/>
  <c r="M37" i="2" s="1"/>
  <c r="G37" i="2" s="1"/>
  <c r="K39" i="2"/>
  <c r="F38" i="2"/>
  <c r="E38" i="2"/>
  <c r="I38" i="2" s="1"/>
  <c r="N38" i="2" l="1"/>
  <c r="M38" i="2" s="1"/>
  <c r="G38" i="2" s="1"/>
  <c r="K40" i="2"/>
  <c r="F39" i="2"/>
  <c r="E39" i="2"/>
  <c r="I39" i="2" s="1"/>
  <c r="N39" i="2" l="1"/>
  <c r="M39" i="2" s="1"/>
  <c r="G39" i="2" s="1"/>
  <c r="K41" i="2"/>
  <c r="F40" i="2"/>
  <c r="E40" i="2"/>
  <c r="I40" i="2" s="1"/>
  <c r="N40" i="2" l="1"/>
  <c r="M40" i="2" s="1"/>
  <c r="G40" i="2" s="1"/>
  <c r="K42" i="2"/>
  <c r="F41" i="2"/>
  <c r="E41" i="2"/>
  <c r="I41" i="2" s="1"/>
  <c r="N41" i="2" l="1"/>
  <c r="M41" i="2" s="1"/>
  <c r="G41" i="2" s="1"/>
  <c r="F42" i="2"/>
  <c r="K43" i="2"/>
  <c r="E42" i="2"/>
  <c r="I42" i="2" s="1"/>
  <c r="N42" i="2" l="1"/>
  <c r="M42" i="2" s="1"/>
  <c r="G42" i="2" s="1"/>
  <c r="F43" i="2"/>
  <c r="K44" i="2"/>
  <c r="E43" i="2"/>
  <c r="I43" i="2" s="1"/>
  <c r="N43" i="2" l="1"/>
  <c r="M43" i="2" s="1"/>
  <c r="G43" i="2" s="1"/>
  <c r="K45" i="2"/>
  <c r="F44" i="2"/>
  <c r="E44" i="2"/>
  <c r="I44" i="2" s="1"/>
  <c r="N44" i="2" l="1"/>
  <c r="M44" i="2" s="1"/>
  <c r="G44" i="2" s="1"/>
  <c r="K46" i="2"/>
  <c r="F45" i="2"/>
  <c r="E45" i="2"/>
  <c r="I45" i="2" s="1"/>
  <c r="N45" i="2" l="1"/>
  <c r="M45" i="2" s="1"/>
  <c r="G45" i="2" s="1"/>
  <c r="K47" i="2"/>
  <c r="F46" i="2"/>
  <c r="E46" i="2"/>
  <c r="I46" i="2" s="1"/>
  <c r="N46" i="2" l="1"/>
  <c r="M46" i="2" s="1"/>
  <c r="G46" i="2" s="1"/>
  <c r="K48" i="2"/>
  <c r="F47" i="2"/>
  <c r="E47" i="2"/>
  <c r="I47" i="2" s="1"/>
  <c r="N47" i="2" l="1"/>
  <c r="M47" i="2" s="1"/>
  <c r="G47" i="2" s="1"/>
  <c r="K49" i="2"/>
  <c r="F48" i="2"/>
  <c r="E48" i="2"/>
  <c r="I48" i="2" s="1"/>
  <c r="N48" i="2" l="1"/>
  <c r="M48" i="2" s="1"/>
  <c r="G48" i="2" s="1"/>
  <c r="K50" i="2"/>
  <c r="F49" i="2"/>
  <c r="E49" i="2"/>
  <c r="I49" i="2" s="1"/>
  <c r="N49" i="2" l="1"/>
  <c r="M49" i="2" s="1"/>
  <c r="G49" i="2"/>
  <c r="K51" i="2"/>
  <c r="F50" i="2"/>
  <c r="E50" i="2"/>
  <c r="I50" i="2" s="1"/>
  <c r="N50" i="2" l="1"/>
  <c r="M50" i="2" s="1"/>
  <c r="G50" i="2" s="1"/>
  <c r="K52" i="2"/>
  <c r="F51" i="2"/>
  <c r="E51" i="2"/>
  <c r="I51" i="2" s="1"/>
  <c r="N51" i="2" l="1"/>
  <c r="M51" i="2" s="1"/>
  <c r="G51" i="2" s="1"/>
  <c r="K53" i="2"/>
  <c r="F52" i="2"/>
  <c r="E52" i="2"/>
  <c r="I52" i="2" s="1"/>
  <c r="N52" i="2" l="1"/>
  <c r="M52" i="2" s="1"/>
  <c r="G52" i="2" s="1"/>
  <c r="K54" i="2"/>
  <c r="F53" i="2"/>
  <c r="E53" i="2"/>
  <c r="I53" i="2" s="1"/>
  <c r="N53" i="2" l="1"/>
  <c r="M53" i="2" s="1"/>
  <c r="G53" i="2" s="1"/>
  <c r="K55" i="2"/>
  <c r="F54" i="2"/>
  <c r="E54" i="2"/>
  <c r="I54" i="2" s="1"/>
  <c r="N54" i="2" l="1"/>
  <c r="M54" i="2" s="1"/>
  <c r="G54" i="2" s="1"/>
  <c r="K56" i="2"/>
  <c r="F55" i="2"/>
  <c r="E55" i="2"/>
  <c r="I55" i="2" s="1"/>
  <c r="N55" i="2" l="1"/>
  <c r="M55" i="2" s="1"/>
  <c r="G55" i="2" s="1"/>
  <c r="F56" i="2"/>
  <c r="K57" i="2"/>
  <c r="F57" i="2" s="1"/>
  <c r="E56" i="2"/>
  <c r="I56" i="2" s="1"/>
  <c r="N57" i="2" l="1"/>
  <c r="M57" i="2" s="1"/>
  <c r="G57" i="2" s="1"/>
  <c r="N56" i="2"/>
  <c r="M56" i="2" s="1"/>
  <c r="G56" i="2" s="1"/>
  <c r="E57" i="2"/>
  <c r="I57" i="2" s="1"/>
  <c r="G28" i="2"/>
</calcChain>
</file>

<file path=xl/sharedStrings.xml><?xml version="1.0" encoding="utf-8"?>
<sst xmlns="http://schemas.openxmlformats.org/spreadsheetml/2006/main" count="25" uniqueCount="25">
  <si>
    <t>cap_appreciation_rate</t>
  </si>
  <si>
    <t>yearend_cap_appreciation</t>
  </si>
  <si>
    <t>Annual Rate</t>
  </si>
  <si>
    <t>Years</t>
  </si>
  <si>
    <t>Amount</t>
  </si>
  <si>
    <t>Payment Number</t>
  </si>
  <si>
    <t>Payment</t>
  </si>
  <si>
    <t xml:space="preserve">Principal </t>
  </si>
  <si>
    <t>Interest</t>
  </si>
  <si>
    <t>Balance</t>
  </si>
  <si>
    <t>Payments / Year</t>
  </si>
  <si>
    <t>weekly_payment</t>
  </si>
  <si>
    <t>rental income</t>
  </si>
  <si>
    <t>weekly_yield</t>
  </si>
  <si>
    <t>rental_yield</t>
  </si>
  <si>
    <t>yield_yearly</t>
  </si>
  <si>
    <t>rental growth</t>
  </si>
  <si>
    <t>net_capital growth</t>
  </si>
  <si>
    <t>cashflow_0</t>
  </si>
  <si>
    <t>Initial Value</t>
  </si>
  <si>
    <t>tax_incentive</t>
  </si>
  <si>
    <t>cashflow (no tax deduction)</t>
  </si>
  <si>
    <t>cashflow (w/ tax deduction)</t>
  </si>
  <si>
    <t>depreciationschedule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</si>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</sst>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-* #,##0_-;\-* #,##0_-;_-* &quot;-&quot;??_-;_-@_-"/>
    <numFmt numFmtId="167" formatCode="0.000%"/>
    <numFmt numFmtId="168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2">
    <xf numFmtId="0" fontId="0" fillId="0" borderId="0" xfId="0"/>
    <xf numFmtId="1" fontId="0" fillId="0" borderId="0" xfId="0" applyNumberFormat="1"/>
    <xf numFmtId="166" fontId="0" fillId="0" borderId="0" xfId="1" applyNumberFormat="1" applyFont="1"/>
    <xf numFmtId="3" fontId="0" fillId="0" borderId="0" xfId="0" applyNumberFormat="1"/>
    <xf numFmtId="9" fontId="0" fillId="0" borderId="0" xfId="2" applyFont="1"/>
    <xf numFmtId="167" fontId="0" fillId="0" borderId="0" xfId="2" applyNumberFormat="1" applyFont="1"/>
    <xf numFmtId="164" fontId="0" fillId="0" borderId="0" xfId="3" applyFont="1"/>
    <xf numFmtId="168" fontId="0" fillId="0" borderId="0" xfId="3" applyNumberFormat="1" applyFont="1"/>
    <xf numFmtId="1" fontId="0" fillId="0" borderId="0" xfId="3" applyNumberFormat="1" applyFont="1"/>
    <xf numFmtId="0" fontId="2" fillId="0" borderId="0" xfId="0" applyFont="1"/>
    <xf numFmtId="3" fontId="2" fillId="0" borderId="0" xfId="0" applyNumberFormat="1" applyFont="1"/>
    <xf numFmtId="168" fontId="2" fillId="0" borderId="0" xfId="3" applyNumberFormat="1" applyFont="1"/>
  </cellXfs>
  <cellStyles count="4">
    <cellStyle name="Comma" xfId="1" builtinId="3"/>
    <cellStyle name="Currency" xfId="3" builtinId="4"/>
    <cellStyle name="Normal" xfId="0" builtinId="0"/>
    <cellStyle name="Per cent" xfId="2" builtinId="5"/>
  </cellStyles>
  <dxfs count="1">
    <dxf>
      <font>
        <b val="0"/>
        <i val="0"/>
        <strike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801873618638647E-2"/>
          <c:y val="8.0152671755725186E-2"/>
          <c:w val="0.89644852898437299"/>
          <c:h val="0.85520015627817525"/>
        </c:manualLayout>
      </c:layout>
      <c:barChart>
        <c:barDir val="col"/>
        <c:grouping val="clustered"/>
        <c:varyColors val="0"/>
        <c:ser>
          <c:idx val="11"/>
          <c:order val="11"/>
          <c:tx>
            <c:strRef>
              <c:f>finance!$N$27</c:f>
              <c:strCache>
                <c:ptCount val="1"/>
                <c:pt idx="0">
                  <c:v> cashflow (no tax deduction) </c:v>
                </c:pt>
              </c:strCache>
            </c:strRef>
          </c:tx>
          <c:spPr>
            <a:solidFill>
              <a:schemeClr val="bg2">
                <a:lumMod val="50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finance!$N$28:$N$57</c15:sqref>
                  </c15:fullRef>
                </c:ext>
              </c:extLst>
              <c:f>finance!$N$28:$N$52</c:f>
              <c:numCache>
                <c:formatCode>_-"$"* #,##0_-;\-"$"* #,##0_-;_-"$"* "-"??_-;_-@_-</c:formatCode>
                <c:ptCount val="25"/>
                <c:pt idx="0">
                  <c:v>-12449.78127350915</c:v>
                </c:pt>
                <c:pt idx="1">
                  <c:v>-10998.981273509151</c:v>
                </c:pt>
                <c:pt idx="2">
                  <c:v>-9475.6412735091471</c:v>
                </c:pt>
                <c:pt idx="3">
                  <c:v>-7876.1342735091457</c:v>
                </c:pt>
                <c:pt idx="4">
                  <c:v>-6196.65192350914</c:v>
                </c:pt>
                <c:pt idx="5">
                  <c:v>-4433.1954560091399</c:v>
                </c:pt>
                <c:pt idx="6">
                  <c:v>-2581.5661651341361</c:v>
                </c:pt>
                <c:pt idx="7">
                  <c:v>-637.35540971538285</c:v>
                </c:pt>
                <c:pt idx="8">
                  <c:v>1404.0658834743081</c:v>
                </c:pt>
                <c:pt idx="9">
                  <c:v>3547.5582413234806</c:v>
                </c:pt>
                <c:pt idx="10">
                  <c:v>5798.2252170651118</c:v>
                </c:pt>
                <c:pt idx="11">
                  <c:v>8161.4255415938242</c:v>
                </c:pt>
                <c:pt idx="12">
                  <c:v>10642.785882348973</c:v>
                </c:pt>
                <c:pt idx="13">
                  <c:v>13248.214240141882</c:v>
                </c:pt>
                <c:pt idx="14">
                  <c:v>15983.914015824434</c:v>
                </c:pt>
                <c:pt idx="15">
                  <c:v>18856.398780291122</c:v>
                </c:pt>
                <c:pt idx="16">
                  <c:v>21872.507782981142</c:v>
                </c:pt>
                <c:pt idx="17">
                  <c:v>25039.42223580565</c:v>
                </c:pt>
                <c:pt idx="18">
                  <c:v>28364.682411271402</c:v>
                </c:pt>
                <c:pt idx="19">
                  <c:v>31856.205595510422</c:v>
                </c:pt>
                <c:pt idx="20">
                  <c:v>35522.30493896141</c:v>
                </c:pt>
                <c:pt idx="21">
                  <c:v>39371.709249584928</c:v>
                </c:pt>
                <c:pt idx="22">
                  <c:v>43413.583775739644</c:v>
                </c:pt>
                <c:pt idx="23">
                  <c:v>47657.552028202081</c:v>
                </c:pt>
                <c:pt idx="24">
                  <c:v>52113.718693287643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EE-498D-B57F-5F88C9FE5CEF}"/>
            </c:ext>
          </c:extLst>
        </c:ser>
        <c:ser>
          <c:idx val="6"/>
          <c:order val="6"/>
          <c:tx>
            <c:strRef>
              <c:f>finance!$G$27</c:f>
              <c:strCache>
                <c:ptCount val="1"/>
                <c:pt idx="0">
                  <c:v> cashflow (w/ tax deduction) </c:v>
                </c:pt>
              </c:strCache>
            </c:strRef>
          </c:tx>
          <c:spPr>
            <a:solidFill>
              <a:schemeClr val="tx2">
                <a:lumMod val="25000"/>
                <a:lumOff val="75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finance!$G$28:$G$57</c15:sqref>
                  </c15:fullRef>
                </c:ext>
              </c:extLst>
              <c:f>finance!$G$28:$G$52</c:f>
              <c:numCache>
                <c:formatCode>_-"$"* #,##0_-;\-"$"* #,##0_-;_-"$"* "-"??_-;_-@_-</c:formatCode>
                <c:ptCount val="25"/>
                <c:pt idx="0">
                  <c:v>-9337.3359551318626</c:v>
                </c:pt>
                <c:pt idx="1">
                  <c:v>-8249.2359551318623</c:v>
                </c:pt>
                <c:pt idx="2">
                  <c:v>-7106.7309551318604</c:v>
                </c:pt>
                <c:pt idx="3">
                  <c:v>-5907.1007051318593</c:v>
                </c:pt>
                <c:pt idx="4">
                  <c:v>-4647.488942631855</c:v>
                </c:pt>
                <c:pt idx="5">
                  <c:v>-3324.8965920068549</c:v>
                </c:pt>
                <c:pt idx="6">
                  <c:v>-1936.1746238506021</c:v>
                </c:pt>
                <c:pt idx="7">
                  <c:v>-478.01655728653714</c:v>
                </c:pt>
                <c:pt idx="8">
                  <c:v>1053.049412605731</c:v>
                </c:pt>
                <c:pt idx="9">
                  <c:v>2660.6686809926105</c:v>
                </c:pt>
                <c:pt idx="10">
                  <c:v>4348.6689127988338</c:v>
                </c:pt>
                <c:pt idx="11">
                  <c:v>6121.0691561953681</c:v>
                </c:pt>
                <c:pt idx="12">
                  <c:v>7982.0894117617299</c:v>
                </c:pt>
                <c:pt idx="13">
                  <c:v>9936.1606801064117</c:v>
                </c:pt>
                <c:pt idx="14">
                  <c:v>11987.935511868325</c:v>
                </c:pt>
                <c:pt idx="15">
                  <c:v>14142.299085218341</c:v>
                </c:pt>
                <c:pt idx="16">
                  <c:v>16404.380837235854</c:v>
                </c:pt>
                <c:pt idx="17">
                  <c:v>18779.566676854236</c:v>
                </c:pt>
                <c:pt idx="18">
                  <c:v>21273.51180845355</c:v>
                </c:pt>
                <c:pt idx="19">
                  <c:v>23892.154196632815</c:v>
                </c:pt>
                <c:pt idx="20">
                  <c:v>26641.728704221059</c:v>
                </c:pt>
                <c:pt idx="21">
                  <c:v>29528.781937188694</c:v>
                </c:pt>
                <c:pt idx="22">
                  <c:v>32560.187831804731</c:v>
                </c:pt>
                <c:pt idx="23">
                  <c:v>35743.164021151562</c:v>
                </c:pt>
                <c:pt idx="24">
                  <c:v>39085.289019965734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9075144"/>
        <c:axId val="509074424"/>
        <c:extLst>
          <c:ext xmlns:c15="http://schemas.microsoft.com/office/drawing/2012/chart" uri="{02D57815-91ED-43cb-92C2-25804820EDAC}">
            <c15:filteredBarSeries>
              <c15:ser>
                <c:idx val="10"/>
                <c:order val="10"/>
                <c:tx>
                  <c:strRef>
                    <c:extLst>
                      <c:ext uri="{02D57815-91ED-43cb-92C2-25804820EDAC}">
                        <c15:formulaRef>
                          <c15:sqref>finance!$M$27</c15:sqref>
                        </c15:formulaRef>
                      </c:ext>
                    </c:extLst>
                    <c:strCache>
                      <c:ptCount val="1"/>
                      <c:pt idx="0">
                        <c:v>tax_incentive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finance!$M$28:$M$57</c15:sqref>
                        </c15:fullRef>
                        <c15:formulaRef>
                          <c15:sqref>finance!$M$28:$M$52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25"/>
                      <c:pt idx="0">
                        <c:v>3112.4453183772875</c:v>
                      </c:pt>
                      <c:pt idx="1">
                        <c:v>2749.7453183772877</c:v>
                      </c:pt>
                      <c:pt idx="2">
                        <c:v>2368.9103183772868</c:v>
                      </c:pt>
                      <c:pt idx="3">
                        <c:v>1969.0335683772864</c:v>
                      </c:pt>
                      <c:pt idx="4">
                        <c:v>1549.162980877285</c:v>
                      </c:pt>
                      <c:pt idx="5">
                        <c:v>1108.298864002285</c:v>
                      </c:pt>
                      <c:pt idx="6">
                        <c:v>645.39154128353402</c:v>
                      </c:pt>
                      <c:pt idx="7">
                        <c:v>159.33885242884571</c:v>
                      </c:pt>
                      <c:pt idx="8">
                        <c:v>-351.01647086857702</c:v>
                      </c:pt>
                      <c:pt idx="9">
                        <c:v>-886.88956033087015</c:v>
                      </c:pt>
                      <c:pt idx="10">
                        <c:v>-1449.5563042662779</c:v>
                      </c:pt>
                      <c:pt idx="11">
                        <c:v>-2040.356385398456</c:v>
                      </c:pt>
                      <c:pt idx="12">
                        <c:v>-2660.6964705872433</c:v>
                      </c:pt>
                      <c:pt idx="13">
                        <c:v>-3312.0535600354706</c:v>
                      </c:pt>
                      <c:pt idx="14">
                        <c:v>-3995.9785039561084</c:v>
                      </c:pt>
                      <c:pt idx="15">
                        <c:v>-4714.0996950727804</c:v>
                      </c:pt>
                      <c:pt idx="16">
                        <c:v>-5468.1269457452854</c:v>
                      </c:pt>
                      <c:pt idx="17">
                        <c:v>-6259.8555589514126</c:v>
                      </c:pt>
                      <c:pt idx="18">
                        <c:v>-7091.1706028178505</c:v>
                      </c:pt>
                      <c:pt idx="19">
                        <c:v>-7964.0513988776056</c:v>
                      </c:pt>
                      <c:pt idx="20">
                        <c:v>-8880.5762347403524</c:v>
                      </c:pt>
                      <c:pt idx="21">
                        <c:v>-9842.9273123962321</c:v>
                      </c:pt>
                      <c:pt idx="22">
                        <c:v>-10853.395943934911</c:v>
                      </c:pt>
                      <c:pt idx="23">
                        <c:v>-11914.38800705052</c:v>
                      </c:pt>
                      <c:pt idx="24">
                        <c:v>-13028.429673321911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5EE-498D-B57F-5F88C9FE5CEF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7"/>
          <c:order val="7"/>
          <c:tx>
            <c:strRef>
              <c:f>finance!$H$27</c:f>
              <c:strCache>
                <c:ptCount val="1"/>
                <c:pt idx="0">
                  <c:v> yearend_cap_appreciation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finance!$H$28:$H$57</c15:sqref>
                  </c15:fullRef>
                </c:ext>
              </c:extLst>
              <c:f>finance!$H$28:$H$52</c:f>
              <c:numCache>
                <c:formatCode>_-"$"* #,##0_-;\-"$"* #,##0_-;_-"$"* "-"??_-;_-@_-</c:formatCode>
                <c:ptCount val="25"/>
                <c:pt idx="0">
                  <c:v>642000</c:v>
                </c:pt>
                <c:pt idx="1">
                  <c:v>686940</c:v>
                </c:pt>
                <c:pt idx="2">
                  <c:v>735025.8</c:v>
                </c:pt>
                <c:pt idx="3">
                  <c:v>786477.60600000015</c:v>
                </c:pt>
                <c:pt idx="4">
                  <c:v>841531.03842000023</c:v>
                </c:pt>
                <c:pt idx="5">
                  <c:v>900438.21110940026</c:v>
                </c:pt>
                <c:pt idx="6">
                  <c:v>963468.88588705834</c:v>
                </c:pt>
                <c:pt idx="7">
                  <c:v>1030911.7078991525</c:v>
                </c:pt>
                <c:pt idx="8">
                  <c:v>1103075.5274520933</c:v>
                </c:pt>
                <c:pt idx="9">
                  <c:v>1180290.81437374</c:v>
                </c:pt>
                <c:pt idx="10">
                  <c:v>1262911.1713799019</c:v>
                </c:pt>
                <c:pt idx="11">
                  <c:v>1351314.953376495</c:v>
                </c:pt>
                <c:pt idx="12">
                  <c:v>1445907.0001128498</c:v>
                </c:pt>
                <c:pt idx="13">
                  <c:v>1547120.4901207492</c:v>
                </c:pt>
                <c:pt idx="14">
                  <c:v>1655418.9244292018</c:v>
                </c:pt>
                <c:pt idx="15">
                  <c:v>1771298.2491392461</c:v>
                </c:pt>
                <c:pt idx="16">
                  <c:v>1895289.1265789934</c:v>
                </c:pt>
                <c:pt idx="17">
                  <c:v>2027959.365439523</c:v>
                </c:pt>
                <c:pt idx="18">
                  <c:v>2169916.52102029</c:v>
                </c:pt>
                <c:pt idx="19">
                  <c:v>2321810.6774917105</c:v>
                </c:pt>
                <c:pt idx="20">
                  <c:v>2484337.4249161305</c:v>
                </c:pt>
                <c:pt idx="21">
                  <c:v>2658241.04466026</c:v>
                </c:pt>
                <c:pt idx="22">
                  <c:v>2844317.9177864785</c:v>
                </c:pt>
                <c:pt idx="23">
                  <c:v>3043420.172031532</c:v>
                </c:pt>
                <c:pt idx="24">
                  <c:v>3256459.5840737396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56-4398-A86C-ECCE62D44F1C}"/>
            </c:ext>
          </c:extLst>
        </c:ser>
        <c:ser>
          <c:idx val="8"/>
          <c:order val="8"/>
          <c:tx>
            <c:strRef>
              <c:f>finance!$I$27</c:f>
              <c:strCache>
                <c:ptCount val="1"/>
                <c:pt idx="0">
                  <c:v> net_capital growth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Lit>
              <c:ptCount val="25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pt idx="14">
                <c:v> $15 </c:v>
              </c:pt>
              <c:pt idx="15">
                <c:v> $16 </c:v>
              </c:pt>
              <c:pt idx="16">
                <c:v> $17 </c:v>
              </c:pt>
              <c:pt idx="17">
                <c:v> $18 </c:v>
              </c:pt>
              <c:pt idx="18">
                <c:v> $19 </c:v>
              </c:pt>
              <c:pt idx="19">
                <c:v> $20 </c:v>
              </c:pt>
              <c:pt idx="20">
                <c:v> $21 </c:v>
              </c:pt>
              <c:pt idx="21">
                <c:v> $22 </c:v>
              </c:pt>
              <c:pt idx="22">
                <c:v> $23 </c:v>
              </c:pt>
              <c:pt idx="23">
                <c:v> $24 </c:v>
              </c:pt>
              <c:pt idx="24">
                <c:v> $25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finance!$I$28:$I$57</c15:sqref>
                  </c15:fullRef>
                </c:ext>
              </c:extLst>
              <c:f>finance!$I$28:$I$52</c:f>
              <c:numCache>
                <c:formatCode>_-"$"* #,##0_-;\-"$"* #,##0_-;_-"$"* "-"??_-;_-@_-</c:formatCode>
                <c:ptCount val="25"/>
                <c:pt idx="0">
                  <c:v>50225.781273509143</c:v>
                </c:pt>
                <c:pt idx="1">
                  <c:v>103847.27082957071</c:v>
                </c:pt>
                <c:pt idx="2">
                  <c:v>161095.51490703807</c:v>
                </c:pt>
                <c:pt idx="3">
                  <c:v>222217.36438639718</c:v>
                </c:pt>
                <c:pt idx="4">
                  <c:v>287476.56069451279</c:v>
                </c:pt>
                <c:pt idx="5">
                  <c:v>357154.89659142995</c:v>
                </c:pt>
                <c:pt idx="6">
                  <c:v>431553.45701830159</c:v>
                </c:pt>
                <c:pt idx="7">
                  <c:v>510993.94554457581</c:v>
                </c:pt>
                <c:pt idx="8">
                  <c:v>595820.10233658226</c:v>
                </c:pt>
                <c:pt idx="9">
                  <c:v>686399.2199803387</c:v>
                </c:pt>
                <c:pt idx="10">
                  <c:v>783123.76393061539</c:v>
                </c:pt>
                <c:pt idx="11">
                  <c:v>886413.10482802719</c:v>
                </c:pt>
                <c:pt idx="12">
                  <c:v>996715.37042830593</c:v>
                </c:pt>
                <c:pt idx="13">
                  <c:v>1114509.4254251909</c:v>
                </c:pt>
                <c:pt idx="14">
                  <c:v>1240306.9880230185</c:v>
                </c:pt>
                <c:pt idx="15">
                  <c:v>1374654.8927296696</c:v>
                </c:pt>
                <c:pt idx="16">
                  <c:v>1518137.5094978355</c:v>
                </c:pt>
                <c:pt idx="17">
                  <c:v>1671379.3300455781</c:v>
                </c:pt>
                <c:pt idx="18">
                  <c:v>1835047.7329390296</c:v>
                </c:pt>
                <c:pt idx="19">
                  <c:v>2009855.9398242575</c:v>
                </c:pt>
                <c:pt idx="20">
                  <c:v>2196566.1760554099</c:v>
                </c:pt>
                <c:pt idx="21">
                  <c:v>2395993.0498861643</c:v>
                </c:pt>
                <c:pt idx="22">
                  <c:v>2609007.1653754073</c:v>
                </c:pt>
                <c:pt idx="23">
                  <c:v>2836538.9852103968</c:v>
                </c:pt>
                <c:pt idx="24">
                  <c:v>3079582.9607762224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9982424"/>
        <c:axId val="739982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finance!$A$27</c15:sqref>
                        </c15:formulaRef>
                      </c:ext>
                    </c:extLst>
                    <c:strCache>
                      <c:ptCount val="1"/>
                      <c:pt idx="0">
                        <c:v>Payment Number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finance!$A$28:$A$57</c15:sqref>
                        </c15:fullRef>
                        <c15:formulaRef>
                          <c15:sqref>finance!$A$28:$A$52</c15:sqref>
                        </c15:formulaRef>
                      </c:ext>
                    </c:extLst>
                    <c:numCache>
                      <c:formatCode>General</c:formatCode>
                      <c:ptCount val="2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856-4398-A86C-ECCE62D44F1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finance!$B$27</c15:sqref>
                        </c15:formulaRef>
                      </c:ext>
                    </c:extLst>
                    <c:strCache>
                      <c:ptCount val="1"/>
                      <c:pt idx="0">
                        <c:v>Payment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finance!$B$28:$B$57</c15:sqref>
                        </c15:fullRef>
                        <c15:formulaRef>
                          <c15:sqref>finance!$B$28:$B$52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-41465.78127350915</c:v>
                      </c:pt>
                      <c:pt idx="1">
                        <c:v>-41465.78127350915</c:v>
                      </c:pt>
                      <c:pt idx="2">
                        <c:v>-41465.78127350915</c:v>
                      </c:pt>
                      <c:pt idx="3">
                        <c:v>-41465.78127350915</c:v>
                      </c:pt>
                      <c:pt idx="4">
                        <c:v>-41465.78127350915</c:v>
                      </c:pt>
                      <c:pt idx="5">
                        <c:v>-41465.78127350915</c:v>
                      </c:pt>
                      <c:pt idx="6">
                        <c:v>-41465.78127350915</c:v>
                      </c:pt>
                      <c:pt idx="7">
                        <c:v>-41465.78127350915</c:v>
                      </c:pt>
                      <c:pt idx="8">
                        <c:v>-41465.78127350915</c:v>
                      </c:pt>
                      <c:pt idx="9">
                        <c:v>-41465.78127350915</c:v>
                      </c:pt>
                      <c:pt idx="10">
                        <c:v>-41465.78127350915</c:v>
                      </c:pt>
                      <c:pt idx="11">
                        <c:v>-41465.78127350915</c:v>
                      </c:pt>
                      <c:pt idx="12">
                        <c:v>-41465.78127350915</c:v>
                      </c:pt>
                      <c:pt idx="13">
                        <c:v>-41465.78127350915</c:v>
                      </c:pt>
                      <c:pt idx="14">
                        <c:v>-41465.78127350915</c:v>
                      </c:pt>
                      <c:pt idx="15">
                        <c:v>-41465.78127350915</c:v>
                      </c:pt>
                      <c:pt idx="16">
                        <c:v>-41465.78127350915</c:v>
                      </c:pt>
                      <c:pt idx="17">
                        <c:v>-41465.78127350915</c:v>
                      </c:pt>
                      <c:pt idx="18">
                        <c:v>-41465.78127350915</c:v>
                      </c:pt>
                      <c:pt idx="19">
                        <c:v>-41465.78127350915</c:v>
                      </c:pt>
                      <c:pt idx="20">
                        <c:v>-41465.78127350915</c:v>
                      </c:pt>
                      <c:pt idx="21">
                        <c:v>-41465.78127350915</c:v>
                      </c:pt>
                      <c:pt idx="22">
                        <c:v>-41465.78127350915</c:v>
                      </c:pt>
                      <c:pt idx="23">
                        <c:v>-41465.78127350915</c:v>
                      </c:pt>
                      <c:pt idx="24">
                        <c:v>-41465.78127350915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56-4398-A86C-ECCE62D44F1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finance!$C$27</c15:sqref>
                        </c15:formulaRef>
                      </c:ext>
                    </c:extLst>
                    <c:strCache>
                      <c:ptCount val="1"/>
                      <c:pt idx="0">
                        <c:v>Principal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finance!$C$28:$C$57</c15:sqref>
                        </c15:fullRef>
                        <c15:formulaRef>
                          <c15:sqref>finance!$C$28:$C$52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-8225.7812735091502</c:v>
                      </c:pt>
                      <c:pt idx="1">
                        <c:v>-8681.4895560615569</c:v>
                      </c:pt>
                      <c:pt idx="2">
                        <c:v>-9162.4440774673694</c:v>
                      </c:pt>
                      <c:pt idx="3">
                        <c:v>-9670.0434793590612</c:v>
                      </c:pt>
                      <c:pt idx="4">
                        <c:v>-10205.763888115551</c:v>
                      </c:pt>
                      <c:pt idx="5">
                        <c:v>-10771.163207517153</c:v>
                      </c:pt>
                      <c:pt idx="6">
                        <c:v>-11367.885649213602</c:v>
                      </c:pt>
                      <c:pt idx="7">
                        <c:v>-11997.666514180039</c:v>
                      </c:pt>
                      <c:pt idx="8">
                        <c:v>-12662.337239065611</c:v>
                      </c:pt>
                      <c:pt idx="9">
                        <c:v>-13363.830722109846</c:v>
                      </c:pt>
                      <c:pt idx="10">
                        <c:v>-14104.186944114732</c:v>
                      </c:pt>
                      <c:pt idx="11">
                        <c:v>-14885.558900818691</c:v>
                      </c:pt>
                      <c:pt idx="12">
                        <c:v>-15710.218863924043</c:v>
                      </c:pt>
                      <c:pt idx="13">
                        <c:v>-16580.564988985436</c:v>
                      </c:pt>
                      <c:pt idx="14">
                        <c:v>-17499.128289375229</c:v>
                      </c:pt>
                      <c:pt idx="15">
                        <c:v>-18468.579996606619</c:v>
                      </c:pt>
                      <c:pt idx="16">
                        <c:v>-19491.739328418622</c:v>
                      </c:pt>
                      <c:pt idx="17">
                        <c:v>-20571.581687213009</c:v>
                      </c:pt>
                      <c:pt idx="18">
                        <c:v>-21711.247312684613</c:v>
                      </c:pt>
                      <c:pt idx="19">
                        <c:v>-22914.050413807341</c:v>
                      </c:pt>
                      <c:pt idx="20">
                        <c:v>-24183.488806732272</c:v>
                      </c:pt>
                      <c:pt idx="21">
                        <c:v>-25523.254086625235</c:v>
                      </c:pt>
                      <c:pt idx="22">
                        <c:v>-26937.242363024274</c:v>
                      </c:pt>
                      <c:pt idx="23">
                        <c:v>-28429.565589935817</c:v>
                      </c:pt>
                      <c:pt idx="24">
                        <c:v>-30004.563523618261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856-4398-A86C-ECCE62D44F1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finance!$D$27</c15:sqref>
                        </c15:formulaRef>
                      </c:ext>
                    </c:extLst>
                    <c:strCache>
                      <c:ptCount val="1"/>
                      <c:pt idx="0">
                        <c:v>Interest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finance!$D$28:$D$57</c15:sqref>
                        </c15:fullRef>
                        <c15:formulaRef>
                          <c15:sqref>finance!$D$28:$D$52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-33240</c:v>
                      </c:pt>
                      <c:pt idx="1">
                        <c:v>-32784.291717447595</c:v>
                      </c:pt>
                      <c:pt idx="2">
                        <c:v>-32303.337196041783</c:v>
                      </c:pt>
                      <c:pt idx="3">
                        <c:v>-31795.737794150093</c:v>
                      </c:pt>
                      <c:pt idx="4">
                        <c:v>-31260.017385393603</c:v>
                      </c:pt>
                      <c:pt idx="5">
                        <c:v>-30694.618065991996</c:v>
                      </c:pt>
                      <c:pt idx="6">
                        <c:v>-30097.895624295554</c:v>
                      </c:pt>
                      <c:pt idx="7">
                        <c:v>-29468.114759329117</c:v>
                      </c:pt>
                      <c:pt idx="8">
                        <c:v>-28803.444034443539</c:v>
                      </c:pt>
                      <c:pt idx="9">
                        <c:v>-28101.950551399306</c:v>
                      </c:pt>
                      <c:pt idx="10">
                        <c:v>-27361.594329394418</c:v>
                      </c:pt>
                      <c:pt idx="11">
                        <c:v>-26580.222372690459</c:v>
                      </c:pt>
                      <c:pt idx="12">
                        <c:v>-25755.562409585113</c:v>
                      </c:pt>
                      <c:pt idx="13">
                        <c:v>-24885.216284523718</c:v>
                      </c:pt>
                      <c:pt idx="14">
                        <c:v>-23966.652984133922</c:v>
                      </c:pt>
                      <c:pt idx="15">
                        <c:v>-22997.201276902535</c:v>
                      </c:pt>
                      <c:pt idx="16">
                        <c:v>-21974.041945090532</c:v>
                      </c:pt>
                      <c:pt idx="17">
                        <c:v>-20894.199586296138</c:v>
                      </c:pt>
                      <c:pt idx="18">
                        <c:v>-19754.533960824538</c:v>
                      </c:pt>
                      <c:pt idx="19">
                        <c:v>-18551.730859701809</c:v>
                      </c:pt>
                      <c:pt idx="20">
                        <c:v>-17282.292466776886</c:v>
                      </c:pt>
                      <c:pt idx="21">
                        <c:v>-15942.527186883914</c:v>
                      </c:pt>
                      <c:pt idx="22">
                        <c:v>-14528.538910484876</c:v>
                      </c:pt>
                      <c:pt idx="23">
                        <c:v>-13036.215683573331</c:v>
                      </c:pt>
                      <c:pt idx="24">
                        <c:v>-11461.21774989089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56-4398-A86C-ECCE62D44F1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finance!$E$27</c15:sqref>
                        </c15:formulaRef>
                      </c:ext>
                    </c:extLst>
                    <c:strCache>
                      <c:ptCount val="1"/>
                      <c:pt idx="0">
                        <c:v>Balance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finance!$E$28:$E$57</c15:sqref>
                        </c15:fullRef>
                        <c15:formulaRef>
                          <c15:sqref>finance!$E$28:$E$52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591774.21872649086</c:v>
                      </c:pt>
                      <c:pt idx="1">
                        <c:v>583092.72917042929</c:v>
                      </c:pt>
                      <c:pt idx="2">
                        <c:v>573930.28509296197</c:v>
                      </c:pt>
                      <c:pt idx="3">
                        <c:v>564260.24161360296</c:v>
                      </c:pt>
                      <c:pt idx="4">
                        <c:v>554054.47772548744</c:v>
                      </c:pt>
                      <c:pt idx="5">
                        <c:v>543283.31451797031</c:v>
                      </c:pt>
                      <c:pt idx="6">
                        <c:v>531915.42886875675</c:v>
                      </c:pt>
                      <c:pt idx="7">
                        <c:v>519917.76235457673</c:v>
                      </c:pt>
                      <c:pt idx="8">
                        <c:v>507255.42511551111</c:v>
                      </c:pt>
                      <c:pt idx="9">
                        <c:v>493891.59439340129</c:v>
                      </c:pt>
                      <c:pt idx="10">
                        <c:v>479787.40744928655</c:v>
                      </c:pt>
                      <c:pt idx="11">
                        <c:v>464901.84854846785</c:v>
                      </c:pt>
                      <c:pt idx="12">
                        <c:v>449191.62968454382</c:v>
                      </c:pt>
                      <c:pt idx="13">
                        <c:v>432611.06469555839</c:v>
                      </c:pt>
                      <c:pt idx="14">
                        <c:v>415111.93640618317</c:v>
                      </c:pt>
                      <c:pt idx="15">
                        <c:v>396643.35640957655</c:v>
                      </c:pt>
                      <c:pt idx="16">
                        <c:v>377151.61708115792</c:v>
                      </c:pt>
                      <c:pt idx="17">
                        <c:v>356580.03539394494</c:v>
                      </c:pt>
                      <c:pt idx="18">
                        <c:v>334868.78808126034</c:v>
                      </c:pt>
                      <c:pt idx="19">
                        <c:v>311954.73766745301</c:v>
                      </c:pt>
                      <c:pt idx="20">
                        <c:v>287771.24886072072</c:v>
                      </c:pt>
                      <c:pt idx="21">
                        <c:v>262247.99477409548</c:v>
                      </c:pt>
                      <c:pt idx="22">
                        <c:v>235310.75241107121</c:v>
                      </c:pt>
                      <c:pt idx="23">
                        <c:v>206881.1868211354</c:v>
                      </c:pt>
                      <c:pt idx="24">
                        <c:v>176876.62329751713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56-4398-A86C-ECCE62D44F1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finance!$F$27</c15:sqref>
                        </c15:formulaRef>
                      </c:ext>
                    </c:extLst>
                    <c:strCache>
                      <c:ptCount val="1"/>
                      <c:pt idx="0">
                        <c:v>yield_yearly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finance!$F$28:$F$57</c15:sqref>
                        </c15:fullRef>
                        <c15:formulaRef>
                          <c15:sqref>finance!$F$28:$F$52</c15:sqref>
                        </c15:formulaRef>
                      </c:ext>
                    </c:extLst>
                    <c:numCache>
                      <c:formatCode>#,##0</c:formatCode>
                      <c:ptCount val="25"/>
                      <c:pt idx="0">
                        <c:v>29016</c:v>
                      </c:pt>
                      <c:pt idx="1">
                        <c:v>30466.799999999999</c:v>
                      </c:pt>
                      <c:pt idx="2">
                        <c:v>31990.140000000003</c:v>
                      </c:pt>
                      <c:pt idx="3">
                        <c:v>33589.647000000004</c:v>
                      </c:pt>
                      <c:pt idx="4">
                        <c:v>35269.12935000001</c:v>
                      </c:pt>
                      <c:pt idx="5">
                        <c:v>37032.58581750001</c:v>
                      </c:pt>
                      <c:pt idx="6">
                        <c:v>38884.215108375014</c:v>
                      </c:pt>
                      <c:pt idx="7">
                        <c:v>40828.425863793767</c:v>
                      </c:pt>
                      <c:pt idx="8">
                        <c:v>42869.847156983458</c:v>
                      </c:pt>
                      <c:pt idx="9">
                        <c:v>45013.339514832631</c:v>
                      </c:pt>
                      <c:pt idx="10">
                        <c:v>47264.006490574262</c:v>
                      </c:pt>
                      <c:pt idx="11">
                        <c:v>49627.206815102974</c:v>
                      </c:pt>
                      <c:pt idx="12">
                        <c:v>52108.567155858123</c:v>
                      </c:pt>
                      <c:pt idx="13">
                        <c:v>54713.995513651033</c:v>
                      </c:pt>
                      <c:pt idx="14">
                        <c:v>57449.695289333584</c:v>
                      </c:pt>
                      <c:pt idx="15">
                        <c:v>60322.180053800272</c:v>
                      </c:pt>
                      <c:pt idx="16">
                        <c:v>63338.289056490292</c:v>
                      </c:pt>
                      <c:pt idx="17">
                        <c:v>66505.203509314801</c:v>
                      </c:pt>
                      <c:pt idx="18">
                        <c:v>69830.463684780552</c:v>
                      </c:pt>
                      <c:pt idx="19">
                        <c:v>73321.986869019573</c:v>
                      </c:pt>
                      <c:pt idx="20">
                        <c:v>76988.08621247056</c:v>
                      </c:pt>
                      <c:pt idx="21">
                        <c:v>80837.490523094079</c:v>
                      </c:pt>
                      <c:pt idx="22">
                        <c:v>84879.365049248794</c:v>
                      </c:pt>
                      <c:pt idx="23">
                        <c:v>89123.333301711231</c:v>
                      </c:pt>
                      <c:pt idx="24">
                        <c:v>93579.499966796793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56-4398-A86C-ECCE62D44F1C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9"/>
          <c:order val="9"/>
          <c:tx>
            <c:strRef>
              <c:f>finance!$L$27</c:f>
              <c:strCache>
                <c:ptCount val="1"/>
                <c:pt idx="0">
                  <c:v>cashflow_0</c:v>
                </c:pt>
              </c:strCache>
            </c:strRef>
          </c:tx>
          <c:spPr>
            <a:ln w="95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25"/>
              <c:pt idx="0">
                <c:v> 1 </c:v>
              </c:pt>
              <c:pt idx="1">
                <c:v> 2 </c:v>
              </c:pt>
              <c:pt idx="2">
                <c:v> 3 </c:v>
              </c:pt>
              <c:pt idx="3">
                <c:v> 4 </c:v>
              </c:pt>
              <c:pt idx="4">
                <c:v> 5 </c:v>
              </c:pt>
              <c:pt idx="5">
                <c:v> 6 </c:v>
              </c:pt>
              <c:pt idx="6">
                <c:v> 7 </c:v>
              </c:pt>
              <c:pt idx="7">
                <c:v> 8 </c:v>
              </c:pt>
              <c:pt idx="8">
                <c:v> 9 </c:v>
              </c:pt>
              <c:pt idx="9">
                <c:v> 10 </c:v>
              </c:pt>
              <c:pt idx="10">
                <c:v> 11 </c:v>
              </c:pt>
              <c:pt idx="11">
                <c:v> 12 </c:v>
              </c:pt>
              <c:pt idx="12">
                <c:v> 13 </c:v>
              </c:pt>
              <c:pt idx="13">
                <c:v> 14 </c:v>
              </c:pt>
              <c:pt idx="14">
                <c:v> 15 </c:v>
              </c:pt>
              <c:pt idx="15">
                <c:v> 16 </c:v>
              </c:pt>
              <c:pt idx="16">
                <c:v> 17 </c:v>
              </c:pt>
              <c:pt idx="17">
                <c:v> 18 </c:v>
              </c:pt>
              <c:pt idx="18">
                <c:v> 19 </c:v>
              </c:pt>
              <c:pt idx="19">
                <c:v> 20 </c:v>
              </c:pt>
              <c:pt idx="20">
                <c:v> 21 </c:v>
              </c:pt>
              <c:pt idx="21">
                <c:v> 22 </c:v>
              </c:pt>
              <c:pt idx="22">
                <c:v> 23 </c:v>
              </c:pt>
              <c:pt idx="23">
                <c:v> 24 </c:v>
              </c:pt>
              <c:pt idx="24">
                <c:v> 25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finance!$L$28:$L$57</c15:sqref>
                  </c15:fullRef>
                </c:ext>
              </c:extLst>
              <c:f>finance!$L$28:$L$52</c:f>
              <c:numCache>
                <c:formatCode>_-* #,##0_-;\-* #,##0_-;_-* "-"??_-;_-@_-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075144"/>
        <c:axId val="509074424"/>
      </c:lineChart>
      <c:catAx>
        <c:axId val="739982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784"/>
        <c:crosses val="autoZero"/>
        <c:auto val="1"/>
        <c:lblAlgn val="ctr"/>
        <c:lblOffset val="100"/>
        <c:noMultiLvlLbl val="0"/>
      </c:catAx>
      <c:valAx>
        <c:axId val="7399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424"/>
        <c:crosses val="autoZero"/>
        <c:crossBetween val="between"/>
      </c:valAx>
      <c:valAx>
        <c:axId val="509074424"/>
        <c:scaling>
          <c:orientation val="minMax"/>
        </c:scaling>
        <c:delete val="0"/>
        <c:axPos val="r"/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075144"/>
        <c:crosses val="max"/>
        <c:crossBetween val="between"/>
      </c:valAx>
      <c:catAx>
        <c:axId val="5090751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9074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9.0169500063632127E-2"/>
          <c:y val="8.0187995208283541E-2"/>
          <c:w val="0.27944186937285614"/>
          <c:h val="0.14636775889866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11186</xdr:colOff>
      <xdr:row>0</xdr:row>
      <xdr:rowOff>106971</xdr:rowOff>
    </xdr:from>
    <xdr:to>
      <xdr:col>13</xdr:col>
      <xdr:colOff>2931</xdr:colOff>
      <xdr:row>24</xdr:row>
      <xdr:rowOff>99987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FF866-93B7-ACF4-0B54-4B07D85FF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2527A-3BE5-4BA5-A375-284826528062}">
  <dimension ref="A1:Q62"/>
  <sheetViews>
    <sheetView tabSelected="1" zoomScale="130" zoomScaleNormal="130" workbookViewId="0">
      <selection activeCell="F13" sqref="F13"/>
    </sheetView>
  </sheetViews>
  <sheetFormatPr baseColWidth="10" defaultColWidth="8.83203125" defaultRowHeight="15" x14ac:dyDescent="0.2"/>
  <cols>
    <col min="1" max="1" width="15.1640625" customWidth="1"/>
    <col min="2" max="3" width="11.83203125" bestFit="1" customWidth="1"/>
    <col min="4" max="4" width="19.5" bestFit="1" customWidth="1"/>
    <col min="5" max="5" width="12.83203125" bestFit="1" customWidth="1"/>
    <col min="6" max="6" width="12.83203125" customWidth="1"/>
    <col min="7" max="7" width="26.1640625" style="7" bestFit="1" customWidth="1"/>
    <col min="8" max="8" width="17.33203125" style="7" customWidth="1"/>
    <col min="9" max="9" width="14.5" style="7" customWidth="1"/>
    <col min="10" max="10" width="11.6640625" customWidth="1"/>
    <col min="11" max="11" width="10.5" customWidth="1"/>
    <col min="12" max="12" width="9.5" customWidth="1"/>
    <col min="13" max="13" width="9.5" bestFit="1" customWidth="1"/>
    <col min="14" max="14" width="26.1640625" style="7" bestFit="1" customWidth="1"/>
    <col min="15" max="15" width="20.6640625" bestFit="1" customWidth="1"/>
    <col min="16" max="16" width="9.5" bestFit="1" customWidth="1"/>
    <col min="17" max="17" width="11.1640625" bestFit="1" customWidth="1"/>
  </cols>
  <sheetData>
    <row r="1" spans="1:6" x14ac:dyDescent="0.2">
      <c r="A1" t="s">
        <v>2</v>
      </c>
      <c r="B1" s="5">
        <v>5.5399999999999998E-2</v>
      </c>
      <c r="D1" t="s">
        <v>0</v>
      </c>
      <c r="E1" s="4">
        <v>7.0000000000000007E-2</v>
      </c>
      <c r="F1" s="4"/>
    </row>
    <row r="2" spans="1:6" x14ac:dyDescent="0.2">
      <c r="A2" t="s">
        <v>10</v>
      </c>
      <c r="B2">
        <v>1</v>
      </c>
      <c r="D2" t="s">
        <v>12</v>
      </c>
      <c r="E2" s="6">
        <v>620</v>
      </c>
      <c r="F2" s="6"/>
    </row>
    <row r="3" spans="1:6" x14ac:dyDescent="0.2">
      <c r="A3" t="s">
        <v>3</v>
      </c>
      <c r="B3">
        <v>30</v>
      </c>
      <c r="D3" t="s">
        <v>14</v>
      </c>
      <c r="E3" s="4">
        <v>0.9</v>
      </c>
      <c r="F3" s="4"/>
    </row>
    <row r="4" spans="1:6" x14ac:dyDescent="0.2">
      <c r="A4" t="s">
        <v>4</v>
      </c>
      <c r="B4" s="2">
        <v>600000</v>
      </c>
      <c r="D4" t="s">
        <v>16</v>
      </c>
      <c r="E4" s="4">
        <v>0.05</v>
      </c>
    </row>
    <row r="5" spans="1:6" x14ac:dyDescent="0.2">
      <c r="A5" t="s">
        <v>19</v>
      </c>
      <c r="B5" s="2">
        <v>600000</v>
      </c>
      <c r="D5" t="s">
        <v>24</v>
      </c>
      <c r="E5" s="4">
        <v>0.25</v>
      </c>
    </row>
    <row r="6" spans="1:6" x14ac:dyDescent="0.2">
      <c r="B6" s="2"/>
    </row>
    <row r="7" spans="1:6" x14ac:dyDescent="0.2">
      <c r="B7" s="2"/>
    </row>
    <row r="8" spans="1:6" x14ac:dyDescent="0.2">
      <c r="B8" s="2"/>
    </row>
    <row r="9" spans="1:6" x14ac:dyDescent="0.2">
      <c r="B9" s="2"/>
    </row>
    <row r="10" spans="1:6" x14ac:dyDescent="0.2">
      <c r="B10" s="2"/>
    </row>
    <row r="11" spans="1:6" x14ac:dyDescent="0.2">
      <c r="B11" s="2"/>
    </row>
    <row r="12" spans="1:6" x14ac:dyDescent="0.2">
      <c r="B12" s="2"/>
    </row>
    <row r="13" spans="1:6" x14ac:dyDescent="0.2">
      <c r="B13" s="2"/>
    </row>
    <row r="14" spans="1:6" x14ac:dyDescent="0.2">
      <c r="B14" s="2"/>
    </row>
    <row r="15" spans="1:6" x14ac:dyDescent="0.2">
      <c r="B15" s="2"/>
    </row>
    <row r="16" spans="1:6" x14ac:dyDescent="0.2">
      <c r="B16" s="2"/>
    </row>
    <row r="17" spans="1:17" x14ac:dyDescent="0.2">
      <c r="B17" s="2"/>
    </row>
    <row r="18" spans="1:17" x14ac:dyDescent="0.2">
      <c r="B18" s="2"/>
    </row>
    <row r="19" spans="1:17" x14ac:dyDescent="0.2">
      <c r="B19" s="2"/>
    </row>
    <row r="20" spans="1:17" x14ac:dyDescent="0.2">
      <c r="B20" s="2"/>
    </row>
    <row r="21" spans="1:17" x14ac:dyDescent="0.2">
      <c r="B21" s="2"/>
    </row>
    <row r="22" spans="1:17" x14ac:dyDescent="0.2">
      <c r="B22" s="2"/>
    </row>
    <row r="23" spans="1:17" x14ac:dyDescent="0.2">
      <c r="B23" s="2"/>
    </row>
    <row r="24" spans="1:17" x14ac:dyDescent="0.2">
      <c r="B24" s="2"/>
    </row>
    <row r="25" spans="1:17" x14ac:dyDescent="0.2">
      <c r="B25" s="2"/>
    </row>
    <row r="26" spans="1:17" x14ac:dyDescent="0.2">
      <c r="B26" s="2"/>
    </row>
    <row r="27" spans="1:17" s="9" customFormat="1" x14ac:dyDescent="0.2">
      <c r="A27" s="9" t="s">
        <v>5</v>
      </c>
      <c r="B27" s="10" t="s">
        <v>6</v>
      </c>
      <c r="C27" s="10" t="s">
        <v>7</v>
      </c>
      <c r="D27" s="10" t="s">
        <v>8</v>
      </c>
      <c r="E27" s="10" t="s">
        <v>9</v>
      </c>
      <c r="F27" s="10" t="s">
        <v>15</v>
      </c>
      <c r="G27" s="11" t="s">
        <v>22</v>
      </c>
      <c r="H27" s="11" t="s">
        <v>1</v>
      </c>
      <c r="I27" s="11" t="s">
        <v>17</v>
      </c>
      <c r="J27" s="10" t="s">
        <v>11</v>
      </c>
      <c r="K27" s="10" t="s">
        <v>13</v>
      </c>
      <c r="L27" s="9" t="s">
        <v>18</v>
      </c>
      <c r="M27" s="9" t="s">
        <v>20</v>
      </c>
      <c r="N27" s="11" t="s">
        <v>21</v>
      </c>
      <c r="O27" s="9" t="s">
        <v>23</v>
      </c>
    </row>
    <row r="28" spans="1:17" x14ac:dyDescent="0.2">
      <c r="A28">
        <v>1</v>
      </c>
      <c r="B28" s="3">
        <f t="shared" ref="B28:B57" si="0">PMT(Annual_Rate/Payments___Year,Years*Payments___Year,Amount)</f>
        <v>-41465.78127350915</v>
      </c>
      <c r="C28" s="3">
        <f t="shared" ref="C28:C57" si="1">PPMT(Annual_Rate/Payments___Year,A28,Years*Payments___Year,Amount)</f>
        <v>-8225.7812735091502</v>
      </c>
      <c r="D28" s="3">
        <f t="shared" ref="D28:D57" si="2">IPMT(Annual_Rate/Payments___Year,A28,Years*Payments___Year,Amount)</f>
        <v>-33240</v>
      </c>
      <c r="E28" s="3">
        <f>Amount+C28</f>
        <v>591774.21872649086</v>
      </c>
      <c r="F28" s="3">
        <f>52*K28</f>
        <v>29016</v>
      </c>
      <c r="G28" s="7">
        <f>B28+F28+M28</f>
        <v>-9337.3359551318626</v>
      </c>
      <c r="H28" s="7">
        <f>Initial_Value*(1+cap_appreciation_rate)</f>
        <v>642000</v>
      </c>
      <c r="I28" s="7">
        <f>H28-E28</f>
        <v>50225.781273509143</v>
      </c>
      <c r="J28" s="1">
        <f t="shared" ref="J28:J57" si="3">B28/52</f>
        <v>-797.41887064440675</v>
      </c>
      <c r="K28">
        <f>rental_income*rental_yield</f>
        <v>558</v>
      </c>
      <c r="L28" s="2">
        <v>0</v>
      </c>
      <c r="M28" s="2">
        <f>-N28*tax_rate</f>
        <v>3112.4453183772875</v>
      </c>
      <c r="N28" s="7">
        <f>B28+F28</f>
        <v>-12449.78127350915</v>
      </c>
      <c r="O28" s="2"/>
      <c r="P28" s="2"/>
      <c r="Q28" s="2"/>
    </row>
    <row r="29" spans="1:17" x14ac:dyDescent="0.2">
      <c r="A29">
        <v>2</v>
      </c>
      <c r="B29" s="3">
        <f t="shared" si="0"/>
        <v>-41465.78127350915</v>
      </c>
      <c r="C29" s="3">
        <f t="shared" si="1"/>
        <v>-8681.4895560615569</v>
      </c>
      <c r="D29" s="3">
        <f t="shared" si="2"/>
        <v>-32784.291717447595</v>
      </c>
      <c r="E29" s="3">
        <f>E28+C29</f>
        <v>583092.72917042929</v>
      </c>
      <c r="F29" s="3">
        <f t="shared" ref="F29:F57" si="4">52*K29</f>
        <v>30466.799999999999</v>
      </c>
      <c r="G29" s="7">
        <f t="shared" ref="G29:G57" si="5">B29+F29+M29</f>
        <v>-8249.2359551318623</v>
      </c>
      <c r="H29" s="7">
        <f t="shared" ref="H29:H57" si="6">H28*(1+cap_appreciation_rate)</f>
        <v>686940</v>
      </c>
      <c r="I29" s="7">
        <f t="shared" ref="I29:I57" si="7">H29-E29</f>
        <v>103847.27082957071</v>
      </c>
      <c r="J29" s="1">
        <f t="shared" si="3"/>
        <v>-797.41887064440675</v>
      </c>
      <c r="K29" s="8">
        <f t="shared" ref="K29:K57" si="8">K28*(1+rental_growth)</f>
        <v>585.9</v>
      </c>
      <c r="L29" s="2">
        <v>0</v>
      </c>
      <c r="M29" s="2">
        <f>-N29*tax_rate</f>
        <v>2749.7453183772877</v>
      </c>
      <c r="N29" s="7">
        <f t="shared" ref="N29:N57" si="9">B29+F29</f>
        <v>-10998.981273509151</v>
      </c>
      <c r="O29" s="2"/>
      <c r="P29" s="2"/>
      <c r="Q29" s="2"/>
    </row>
    <row r="30" spans="1:17" x14ac:dyDescent="0.2">
      <c r="A30">
        <v>3</v>
      </c>
      <c r="B30" s="3">
        <f t="shared" si="0"/>
        <v>-41465.78127350915</v>
      </c>
      <c r="C30" s="3">
        <f t="shared" si="1"/>
        <v>-9162.4440774673694</v>
      </c>
      <c r="D30" s="3">
        <f t="shared" si="2"/>
        <v>-32303.337196041783</v>
      </c>
      <c r="E30" s="3">
        <f t="shared" ref="E30:E57" si="10">E29+C30</f>
        <v>573930.28509296197</v>
      </c>
      <c r="F30" s="3">
        <f t="shared" si="4"/>
        <v>31990.140000000003</v>
      </c>
      <c r="G30" s="7">
        <f t="shared" si="5"/>
        <v>-7106.7309551318604</v>
      </c>
      <c r="H30" s="7">
        <f t="shared" si="6"/>
        <v>735025.8</v>
      </c>
      <c r="I30" s="7">
        <f t="shared" si="7"/>
        <v>161095.51490703807</v>
      </c>
      <c r="J30" s="1">
        <f t="shared" si="3"/>
        <v>-797.41887064440675</v>
      </c>
      <c r="K30" s="8">
        <f t="shared" si="8"/>
        <v>615.19500000000005</v>
      </c>
      <c r="L30" s="2">
        <v>0</v>
      </c>
      <c r="M30" s="2">
        <f>-N30*tax_rate</f>
        <v>2368.9103183772868</v>
      </c>
      <c r="N30" s="7">
        <f t="shared" si="9"/>
        <v>-9475.6412735091471</v>
      </c>
      <c r="O30" s="2"/>
      <c r="P30" s="2"/>
      <c r="Q30" s="2"/>
    </row>
    <row r="31" spans="1:17" x14ac:dyDescent="0.2">
      <c r="A31">
        <v>4</v>
      </c>
      <c r="B31" s="3">
        <f t="shared" si="0"/>
        <v>-41465.78127350915</v>
      </c>
      <c r="C31" s="3">
        <f t="shared" si="1"/>
        <v>-9670.0434793590612</v>
      </c>
      <c r="D31" s="3">
        <f t="shared" si="2"/>
        <v>-31795.737794150093</v>
      </c>
      <c r="E31" s="3">
        <f t="shared" si="10"/>
        <v>564260.24161360296</v>
      </c>
      <c r="F31" s="3">
        <f t="shared" si="4"/>
        <v>33589.647000000004</v>
      </c>
      <c r="G31" s="7">
        <f t="shared" si="5"/>
        <v>-5907.1007051318593</v>
      </c>
      <c r="H31" s="7">
        <f t="shared" si="6"/>
        <v>786477.60600000015</v>
      </c>
      <c r="I31" s="7">
        <f t="shared" si="7"/>
        <v>222217.36438639718</v>
      </c>
      <c r="J31" s="1">
        <f t="shared" si="3"/>
        <v>-797.41887064440675</v>
      </c>
      <c r="K31" s="8">
        <f t="shared" si="8"/>
        <v>645.9547500000001</v>
      </c>
      <c r="L31" s="2">
        <v>0</v>
      </c>
      <c r="M31" s="2">
        <f>-N31*tax_rate</f>
        <v>1969.0335683772864</v>
      </c>
      <c r="N31" s="7">
        <f t="shared" si="9"/>
        <v>-7876.1342735091457</v>
      </c>
      <c r="O31" s="2"/>
      <c r="P31" s="2"/>
      <c r="Q31" s="2"/>
    </row>
    <row r="32" spans="1:17" x14ac:dyDescent="0.2">
      <c r="A32">
        <v>5</v>
      </c>
      <c r="B32" s="3">
        <f t="shared" si="0"/>
        <v>-41465.78127350915</v>
      </c>
      <c r="C32" s="3">
        <f t="shared" si="1"/>
        <v>-10205.763888115551</v>
      </c>
      <c r="D32" s="3">
        <f t="shared" si="2"/>
        <v>-31260.017385393603</v>
      </c>
      <c r="E32" s="3">
        <f t="shared" si="10"/>
        <v>554054.47772548744</v>
      </c>
      <c r="F32" s="3">
        <f t="shared" si="4"/>
        <v>35269.12935000001</v>
      </c>
      <c r="G32" s="7">
        <f t="shared" si="5"/>
        <v>-4647.488942631855</v>
      </c>
      <c r="H32" s="7">
        <f t="shared" si="6"/>
        <v>841531.03842000023</v>
      </c>
      <c r="I32" s="7">
        <f t="shared" si="7"/>
        <v>287476.56069451279</v>
      </c>
      <c r="J32" s="1">
        <f t="shared" si="3"/>
        <v>-797.41887064440675</v>
      </c>
      <c r="K32" s="8">
        <f t="shared" si="8"/>
        <v>678.25248750000014</v>
      </c>
      <c r="L32" s="2">
        <v>0</v>
      </c>
      <c r="M32" s="2">
        <f>-N32*tax_rate</f>
        <v>1549.162980877285</v>
      </c>
      <c r="N32" s="7">
        <f t="shared" si="9"/>
        <v>-6196.65192350914</v>
      </c>
      <c r="O32" s="2"/>
      <c r="P32" s="2"/>
      <c r="Q32" s="2"/>
    </row>
    <row r="33" spans="1:17" x14ac:dyDescent="0.2">
      <c r="A33">
        <v>6</v>
      </c>
      <c r="B33" s="3">
        <f t="shared" si="0"/>
        <v>-41465.78127350915</v>
      </c>
      <c r="C33" s="3">
        <f t="shared" si="1"/>
        <v>-10771.163207517153</v>
      </c>
      <c r="D33" s="3">
        <f t="shared" si="2"/>
        <v>-30694.618065991996</v>
      </c>
      <c r="E33" s="3">
        <f t="shared" si="10"/>
        <v>543283.31451797031</v>
      </c>
      <c r="F33" s="3">
        <f t="shared" si="4"/>
        <v>37032.58581750001</v>
      </c>
      <c r="G33" s="7">
        <f t="shared" si="5"/>
        <v>-3324.8965920068549</v>
      </c>
      <c r="H33" s="7">
        <f t="shared" si="6"/>
        <v>900438.21110940026</v>
      </c>
      <c r="I33" s="7">
        <f t="shared" si="7"/>
        <v>357154.89659142995</v>
      </c>
      <c r="J33" s="1">
        <f t="shared" si="3"/>
        <v>-797.41887064440675</v>
      </c>
      <c r="K33" s="8">
        <f t="shared" si="8"/>
        <v>712.16511187500021</v>
      </c>
      <c r="L33" s="2">
        <v>0</v>
      </c>
      <c r="M33" s="2">
        <f>-N33*tax_rate</f>
        <v>1108.298864002285</v>
      </c>
      <c r="N33" s="7">
        <f t="shared" si="9"/>
        <v>-4433.1954560091399</v>
      </c>
      <c r="O33" s="2"/>
      <c r="P33" s="2"/>
      <c r="Q33" s="2"/>
    </row>
    <row r="34" spans="1:17" x14ac:dyDescent="0.2">
      <c r="A34">
        <v>7</v>
      </c>
      <c r="B34" s="3">
        <f t="shared" si="0"/>
        <v>-41465.78127350915</v>
      </c>
      <c r="C34" s="3">
        <f t="shared" si="1"/>
        <v>-11367.885649213602</v>
      </c>
      <c r="D34" s="3">
        <f t="shared" si="2"/>
        <v>-30097.895624295554</v>
      </c>
      <c r="E34" s="3">
        <f t="shared" si="10"/>
        <v>531915.42886875675</v>
      </c>
      <c r="F34" s="3">
        <f t="shared" si="4"/>
        <v>38884.215108375014</v>
      </c>
      <c r="G34" s="7">
        <f t="shared" si="5"/>
        <v>-1936.1746238506021</v>
      </c>
      <c r="H34" s="7">
        <f t="shared" si="6"/>
        <v>963468.88588705834</v>
      </c>
      <c r="I34" s="7">
        <f t="shared" si="7"/>
        <v>431553.45701830159</v>
      </c>
      <c r="J34" s="1">
        <f t="shared" si="3"/>
        <v>-797.41887064440675</v>
      </c>
      <c r="K34" s="8">
        <f t="shared" si="8"/>
        <v>747.77336746875028</v>
      </c>
      <c r="L34" s="2">
        <v>0</v>
      </c>
      <c r="M34" s="2">
        <f>-N34*tax_rate</f>
        <v>645.39154128353402</v>
      </c>
      <c r="N34" s="7">
        <f t="shared" si="9"/>
        <v>-2581.5661651341361</v>
      </c>
      <c r="O34" s="2"/>
      <c r="P34" s="2"/>
      <c r="Q34" s="2"/>
    </row>
    <row r="35" spans="1:17" x14ac:dyDescent="0.2">
      <c r="A35">
        <v>8</v>
      </c>
      <c r="B35" s="3">
        <f t="shared" si="0"/>
        <v>-41465.78127350915</v>
      </c>
      <c r="C35" s="3">
        <f t="shared" si="1"/>
        <v>-11997.666514180039</v>
      </c>
      <c r="D35" s="3">
        <f t="shared" si="2"/>
        <v>-29468.114759329117</v>
      </c>
      <c r="E35" s="3">
        <f t="shared" si="10"/>
        <v>519917.76235457673</v>
      </c>
      <c r="F35" s="3">
        <f t="shared" si="4"/>
        <v>40828.425863793767</v>
      </c>
      <c r="G35" s="7">
        <f t="shared" si="5"/>
        <v>-478.01655728653714</v>
      </c>
      <c r="H35" s="7">
        <f t="shared" si="6"/>
        <v>1030911.7078991525</v>
      </c>
      <c r="I35" s="7">
        <f t="shared" si="7"/>
        <v>510993.94554457581</v>
      </c>
      <c r="J35" s="1">
        <f t="shared" si="3"/>
        <v>-797.41887064440675</v>
      </c>
      <c r="K35" s="8">
        <f t="shared" si="8"/>
        <v>785.16203584218783</v>
      </c>
      <c r="L35" s="2">
        <v>0</v>
      </c>
      <c r="M35" s="2">
        <f>-N35*tax_rate</f>
        <v>159.33885242884571</v>
      </c>
      <c r="N35" s="7">
        <f t="shared" si="9"/>
        <v>-637.35540971538285</v>
      </c>
      <c r="O35" s="2"/>
      <c r="P35" s="2"/>
      <c r="Q35" s="2"/>
    </row>
    <row r="36" spans="1:17" x14ac:dyDescent="0.2">
      <c r="A36">
        <v>9</v>
      </c>
      <c r="B36" s="3">
        <f t="shared" si="0"/>
        <v>-41465.78127350915</v>
      </c>
      <c r="C36" s="3">
        <f t="shared" si="1"/>
        <v>-12662.337239065611</v>
      </c>
      <c r="D36" s="3">
        <f t="shared" si="2"/>
        <v>-28803.444034443539</v>
      </c>
      <c r="E36" s="3">
        <f t="shared" si="10"/>
        <v>507255.42511551111</v>
      </c>
      <c r="F36" s="3">
        <f t="shared" si="4"/>
        <v>42869.847156983458</v>
      </c>
      <c r="G36" s="7">
        <f t="shared" si="5"/>
        <v>1053.049412605731</v>
      </c>
      <c r="H36" s="7">
        <f t="shared" si="6"/>
        <v>1103075.5274520933</v>
      </c>
      <c r="I36" s="7">
        <f t="shared" si="7"/>
        <v>595820.10233658226</v>
      </c>
      <c r="J36" s="1">
        <f t="shared" si="3"/>
        <v>-797.41887064440675</v>
      </c>
      <c r="K36" s="8">
        <f t="shared" si="8"/>
        <v>824.42013763429725</v>
      </c>
      <c r="L36" s="2">
        <v>0</v>
      </c>
      <c r="M36" s="2">
        <f>-N36*tax_rate</f>
        <v>-351.01647086857702</v>
      </c>
      <c r="N36" s="7">
        <f t="shared" si="9"/>
        <v>1404.0658834743081</v>
      </c>
      <c r="O36" s="2"/>
      <c r="P36" s="2"/>
      <c r="Q36" s="2"/>
    </row>
    <row r="37" spans="1:17" x14ac:dyDescent="0.2">
      <c r="A37">
        <v>10</v>
      </c>
      <c r="B37" s="3">
        <f t="shared" si="0"/>
        <v>-41465.78127350915</v>
      </c>
      <c r="C37" s="3">
        <f t="shared" si="1"/>
        <v>-13363.830722109846</v>
      </c>
      <c r="D37" s="3">
        <f t="shared" si="2"/>
        <v>-28101.950551399306</v>
      </c>
      <c r="E37" s="3">
        <f t="shared" si="10"/>
        <v>493891.59439340129</v>
      </c>
      <c r="F37" s="3">
        <f t="shared" si="4"/>
        <v>45013.339514832631</v>
      </c>
      <c r="G37" s="7">
        <f t="shared" si="5"/>
        <v>2660.6686809926105</v>
      </c>
      <c r="H37" s="7">
        <f t="shared" si="6"/>
        <v>1180290.81437374</v>
      </c>
      <c r="I37" s="7">
        <f t="shared" si="7"/>
        <v>686399.2199803387</v>
      </c>
      <c r="J37" s="1">
        <f t="shared" si="3"/>
        <v>-797.41887064440675</v>
      </c>
      <c r="K37" s="8">
        <f t="shared" si="8"/>
        <v>865.6411445160121</v>
      </c>
      <c r="L37" s="2">
        <v>0</v>
      </c>
      <c r="M37" s="2">
        <f>-N37*tax_rate</f>
        <v>-886.88956033087015</v>
      </c>
      <c r="N37" s="7">
        <f t="shared" si="9"/>
        <v>3547.5582413234806</v>
      </c>
      <c r="O37" s="2"/>
      <c r="P37" s="2"/>
      <c r="Q37" s="2"/>
    </row>
    <row r="38" spans="1:17" x14ac:dyDescent="0.2">
      <c r="A38">
        <v>11</v>
      </c>
      <c r="B38" s="3">
        <f t="shared" si="0"/>
        <v>-41465.78127350915</v>
      </c>
      <c r="C38" s="3">
        <f t="shared" si="1"/>
        <v>-14104.186944114732</v>
      </c>
      <c r="D38" s="3">
        <f t="shared" si="2"/>
        <v>-27361.594329394418</v>
      </c>
      <c r="E38" s="3">
        <f t="shared" si="10"/>
        <v>479787.40744928655</v>
      </c>
      <c r="F38" s="3">
        <f t="shared" si="4"/>
        <v>47264.006490574262</v>
      </c>
      <c r="G38" s="7">
        <f t="shared" si="5"/>
        <v>4348.6689127988338</v>
      </c>
      <c r="H38" s="7">
        <f t="shared" si="6"/>
        <v>1262911.1713799019</v>
      </c>
      <c r="I38" s="7">
        <f t="shared" si="7"/>
        <v>783123.76393061539</v>
      </c>
      <c r="J38" s="1">
        <f t="shared" si="3"/>
        <v>-797.41887064440675</v>
      </c>
      <c r="K38" s="8">
        <f t="shared" si="8"/>
        <v>908.9232017418127</v>
      </c>
      <c r="L38" s="2">
        <v>0</v>
      </c>
      <c r="M38" s="2">
        <f>-N38*tax_rate</f>
        <v>-1449.5563042662779</v>
      </c>
      <c r="N38" s="7">
        <f t="shared" si="9"/>
        <v>5798.2252170651118</v>
      </c>
      <c r="O38" s="2"/>
      <c r="P38" s="2"/>
      <c r="Q38" s="2"/>
    </row>
    <row r="39" spans="1:17" x14ac:dyDescent="0.2">
      <c r="A39">
        <v>12</v>
      </c>
      <c r="B39" s="3">
        <f t="shared" si="0"/>
        <v>-41465.78127350915</v>
      </c>
      <c r="C39" s="3">
        <f t="shared" si="1"/>
        <v>-14885.558900818691</v>
      </c>
      <c r="D39" s="3">
        <f t="shared" si="2"/>
        <v>-26580.222372690459</v>
      </c>
      <c r="E39" s="3">
        <f t="shared" si="10"/>
        <v>464901.84854846785</v>
      </c>
      <c r="F39" s="3">
        <f t="shared" si="4"/>
        <v>49627.206815102974</v>
      </c>
      <c r="G39" s="7">
        <f t="shared" si="5"/>
        <v>6121.0691561953681</v>
      </c>
      <c r="H39" s="7">
        <f t="shared" si="6"/>
        <v>1351314.953376495</v>
      </c>
      <c r="I39" s="7">
        <f t="shared" si="7"/>
        <v>886413.10482802719</v>
      </c>
      <c r="J39" s="1">
        <f t="shared" si="3"/>
        <v>-797.41887064440675</v>
      </c>
      <c r="K39" s="8">
        <f t="shared" si="8"/>
        <v>954.36936182890338</v>
      </c>
      <c r="L39" s="2">
        <v>0</v>
      </c>
      <c r="M39" s="2">
        <f>-N39*tax_rate</f>
        <v>-2040.356385398456</v>
      </c>
      <c r="N39" s="7">
        <f t="shared" si="9"/>
        <v>8161.4255415938242</v>
      </c>
      <c r="O39" s="2"/>
      <c r="P39" s="2"/>
      <c r="Q39" s="2"/>
    </row>
    <row r="40" spans="1:17" x14ac:dyDescent="0.2">
      <c r="A40">
        <v>13</v>
      </c>
      <c r="B40" s="3">
        <f t="shared" si="0"/>
        <v>-41465.78127350915</v>
      </c>
      <c r="C40" s="3">
        <f t="shared" si="1"/>
        <v>-15710.218863924043</v>
      </c>
      <c r="D40" s="3">
        <f t="shared" si="2"/>
        <v>-25755.562409585113</v>
      </c>
      <c r="E40" s="3">
        <f t="shared" si="10"/>
        <v>449191.62968454382</v>
      </c>
      <c r="F40" s="3">
        <f t="shared" si="4"/>
        <v>52108.567155858123</v>
      </c>
      <c r="G40" s="7">
        <f t="shared" si="5"/>
        <v>7982.0894117617299</v>
      </c>
      <c r="H40" s="7">
        <f t="shared" si="6"/>
        <v>1445907.0001128498</v>
      </c>
      <c r="I40" s="7">
        <f t="shared" si="7"/>
        <v>996715.37042830593</v>
      </c>
      <c r="J40" s="1">
        <f t="shared" si="3"/>
        <v>-797.41887064440675</v>
      </c>
      <c r="K40" s="8">
        <f t="shared" si="8"/>
        <v>1002.0878299203486</v>
      </c>
      <c r="L40" s="2">
        <v>0</v>
      </c>
      <c r="M40" s="2">
        <f>-N40*tax_rate</f>
        <v>-2660.6964705872433</v>
      </c>
      <c r="N40" s="7">
        <f t="shared" si="9"/>
        <v>10642.785882348973</v>
      </c>
      <c r="O40" s="2"/>
      <c r="P40" s="2"/>
      <c r="Q40" s="2"/>
    </row>
    <row r="41" spans="1:17" x14ac:dyDescent="0.2">
      <c r="A41">
        <v>14</v>
      </c>
      <c r="B41" s="3">
        <f t="shared" si="0"/>
        <v>-41465.78127350915</v>
      </c>
      <c r="C41" s="3">
        <f t="shared" si="1"/>
        <v>-16580.564988985436</v>
      </c>
      <c r="D41" s="3">
        <f t="shared" si="2"/>
        <v>-24885.216284523718</v>
      </c>
      <c r="E41" s="3">
        <f t="shared" si="10"/>
        <v>432611.06469555839</v>
      </c>
      <c r="F41" s="3">
        <f t="shared" si="4"/>
        <v>54713.995513651033</v>
      </c>
      <c r="G41" s="7">
        <f t="shared" si="5"/>
        <v>9936.1606801064117</v>
      </c>
      <c r="H41" s="7">
        <f t="shared" si="6"/>
        <v>1547120.4901207492</v>
      </c>
      <c r="I41" s="7">
        <f t="shared" si="7"/>
        <v>1114509.4254251909</v>
      </c>
      <c r="J41" s="1">
        <f t="shared" si="3"/>
        <v>-797.41887064440675</v>
      </c>
      <c r="K41" s="8">
        <f t="shared" si="8"/>
        <v>1052.192221416366</v>
      </c>
      <c r="L41" s="2">
        <v>0</v>
      </c>
      <c r="M41" s="2">
        <f>-N41*tax_rate</f>
        <v>-3312.0535600354706</v>
      </c>
      <c r="N41" s="7">
        <f t="shared" si="9"/>
        <v>13248.214240141882</v>
      </c>
      <c r="O41" s="2"/>
      <c r="P41" s="2"/>
      <c r="Q41" s="2"/>
    </row>
    <row r="42" spans="1:17" x14ac:dyDescent="0.2">
      <c r="A42">
        <v>15</v>
      </c>
      <c r="B42" s="3">
        <f t="shared" si="0"/>
        <v>-41465.78127350915</v>
      </c>
      <c r="C42" s="3">
        <f t="shared" si="1"/>
        <v>-17499.128289375229</v>
      </c>
      <c r="D42" s="3">
        <f t="shared" si="2"/>
        <v>-23966.652984133922</v>
      </c>
      <c r="E42" s="3">
        <f t="shared" si="10"/>
        <v>415111.93640618317</v>
      </c>
      <c r="F42" s="3">
        <f t="shared" si="4"/>
        <v>57449.695289333584</v>
      </c>
      <c r="G42" s="7">
        <f t="shared" si="5"/>
        <v>11987.935511868325</v>
      </c>
      <c r="H42" s="7">
        <f t="shared" si="6"/>
        <v>1655418.9244292018</v>
      </c>
      <c r="I42" s="7">
        <f t="shared" si="7"/>
        <v>1240306.9880230185</v>
      </c>
      <c r="J42" s="1">
        <f t="shared" si="3"/>
        <v>-797.41887064440675</v>
      </c>
      <c r="K42" s="8">
        <f t="shared" si="8"/>
        <v>1104.8018324871844</v>
      </c>
      <c r="L42" s="2">
        <v>0</v>
      </c>
      <c r="M42" s="2">
        <f>-N42*tax_rate</f>
        <v>-3995.9785039561084</v>
      </c>
      <c r="N42" s="7">
        <f t="shared" si="9"/>
        <v>15983.914015824434</v>
      </c>
      <c r="O42" s="2"/>
      <c r="P42" s="2"/>
      <c r="Q42" s="2"/>
    </row>
    <row r="43" spans="1:17" x14ac:dyDescent="0.2">
      <c r="A43">
        <v>16</v>
      </c>
      <c r="B43" s="3">
        <f t="shared" si="0"/>
        <v>-41465.78127350915</v>
      </c>
      <c r="C43" s="3">
        <f t="shared" si="1"/>
        <v>-18468.579996606619</v>
      </c>
      <c r="D43" s="3">
        <f t="shared" si="2"/>
        <v>-22997.201276902535</v>
      </c>
      <c r="E43" s="3">
        <f t="shared" si="10"/>
        <v>396643.35640957655</v>
      </c>
      <c r="F43" s="3">
        <f t="shared" si="4"/>
        <v>60322.180053800272</v>
      </c>
      <c r="G43" s="7">
        <f t="shared" si="5"/>
        <v>14142.299085218341</v>
      </c>
      <c r="H43" s="7">
        <f t="shared" si="6"/>
        <v>1771298.2491392461</v>
      </c>
      <c r="I43" s="7">
        <f t="shared" si="7"/>
        <v>1374654.8927296696</v>
      </c>
      <c r="J43" s="1">
        <f t="shared" si="3"/>
        <v>-797.41887064440675</v>
      </c>
      <c r="K43" s="8">
        <f t="shared" si="8"/>
        <v>1160.0419241115437</v>
      </c>
      <c r="L43" s="2">
        <v>0</v>
      </c>
      <c r="M43" s="2">
        <f>-N43*tax_rate</f>
        <v>-4714.0996950727804</v>
      </c>
      <c r="N43" s="7">
        <f t="shared" si="9"/>
        <v>18856.398780291122</v>
      </c>
      <c r="O43" s="2"/>
      <c r="P43" s="2"/>
      <c r="Q43" s="2"/>
    </row>
    <row r="44" spans="1:17" x14ac:dyDescent="0.2">
      <c r="A44">
        <v>17</v>
      </c>
      <c r="B44" s="3">
        <f t="shared" si="0"/>
        <v>-41465.78127350915</v>
      </c>
      <c r="C44" s="3">
        <f t="shared" si="1"/>
        <v>-19491.739328418622</v>
      </c>
      <c r="D44" s="3">
        <f t="shared" si="2"/>
        <v>-21974.041945090532</v>
      </c>
      <c r="E44" s="3">
        <f t="shared" si="10"/>
        <v>377151.61708115792</v>
      </c>
      <c r="F44" s="3">
        <f t="shared" si="4"/>
        <v>63338.289056490292</v>
      </c>
      <c r="G44" s="7">
        <f t="shared" si="5"/>
        <v>16404.380837235854</v>
      </c>
      <c r="H44" s="7">
        <f t="shared" si="6"/>
        <v>1895289.1265789934</v>
      </c>
      <c r="I44" s="7">
        <f t="shared" si="7"/>
        <v>1518137.5094978355</v>
      </c>
      <c r="J44" s="1">
        <f t="shared" si="3"/>
        <v>-797.41887064440675</v>
      </c>
      <c r="K44" s="8">
        <f t="shared" si="8"/>
        <v>1218.0440203171211</v>
      </c>
      <c r="L44" s="2">
        <v>0</v>
      </c>
      <c r="M44" s="2">
        <f>-N44*tax_rate</f>
        <v>-5468.1269457452854</v>
      </c>
      <c r="N44" s="7">
        <f t="shared" si="9"/>
        <v>21872.507782981142</v>
      </c>
      <c r="O44" s="2"/>
      <c r="P44" s="2"/>
      <c r="Q44" s="2"/>
    </row>
    <row r="45" spans="1:17" x14ac:dyDescent="0.2">
      <c r="A45">
        <v>18</v>
      </c>
      <c r="B45" s="3">
        <f t="shared" si="0"/>
        <v>-41465.78127350915</v>
      </c>
      <c r="C45" s="3">
        <f t="shared" si="1"/>
        <v>-20571.581687213009</v>
      </c>
      <c r="D45" s="3">
        <f t="shared" si="2"/>
        <v>-20894.199586296138</v>
      </c>
      <c r="E45" s="3">
        <f t="shared" si="10"/>
        <v>356580.03539394494</v>
      </c>
      <c r="F45" s="3">
        <f t="shared" si="4"/>
        <v>66505.203509314801</v>
      </c>
      <c r="G45" s="7">
        <f t="shared" si="5"/>
        <v>18779.566676854236</v>
      </c>
      <c r="H45" s="7">
        <f t="shared" si="6"/>
        <v>2027959.365439523</v>
      </c>
      <c r="I45" s="7">
        <f t="shared" si="7"/>
        <v>1671379.3300455781</v>
      </c>
      <c r="J45" s="1">
        <f t="shared" si="3"/>
        <v>-797.41887064440675</v>
      </c>
      <c r="K45" s="8">
        <f t="shared" si="8"/>
        <v>1278.9462213329771</v>
      </c>
      <c r="L45" s="2">
        <v>0</v>
      </c>
      <c r="M45" s="2">
        <f>-N45*tax_rate</f>
        <v>-6259.8555589514126</v>
      </c>
      <c r="N45" s="7">
        <f t="shared" si="9"/>
        <v>25039.42223580565</v>
      </c>
      <c r="O45" s="2"/>
      <c r="P45" s="2"/>
      <c r="Q45" s="2"/>
    </row>
    <row r="46" spans="1:17" x14ac:dyDescent="0.2">
      <c r="A46">
        <v>19</v>
      </c>
      <c r="B46" s="3">
        <f t="shared" si="0"/>
        <v>-41465.78127350915</v>
      </c>
      <c r="C46" s="3">
        <f t="shared" si="1"/>
        <v>-21711.247312684613</v>
      </c>
      <c r="D46" s="3">
        <f t="shared" si="2"/>
        <v>-19754.533960824538</v>
      </c>
      <c r="E46" s="3">
        <f t="shared" si="10"/>
        <v>334868.78808126034</v>
      </c>
      <c r="F46" s="3">
        <f t="shared" si="4"/>
        <v>69830.463684780552</v>
      </c>
      <c r="G46" s="7">
        <f t="shared" si="5"/>
        <v>21273.51180845355</v>
      </c>
      <c r="H46" s="7">
        <f t="shared" si="6"/>
        <v>2169916.52102029</v>
      </c>
      <c r="I46" s="7">
        <f t="shared" si="7"/>
        <v>1835047.7329390296</v>
      </c>
      <c r="J46" s="1">
        <f t="shared" si="3"/>
        <v>-797.41887064440675</v>
      </c>
      <c r="K46" s="8">
        <f t="shared" si="8"/>
        <v>1342.8935323996259</v>
      </c>
      <c r="L46" s="2">
        <v>0</v>
      </c>
      <c r="M46" s="2">
        <f>-N46*tax_rate</f>
        <v>-7091.1706028178505</v>
      </c>
      <c r="N46" s="7">
        <f t="shared" si="9"/>
        <v>28364.682411271402</v>
      </c>
      <c r="O46" s="2"/>
      <c r="P46" s="2"/>
      <c r="Q46" s="2"/>
    </row>
    <row r="47" spans="1:17" x14ac:dyDescent="0.2">
      <c r="A47">
        <v>20</v>
      </c>
      <c r="B47" s="3">
        <f t="shared" si="0"/>
        <v>-41465.78127350915</v>
      </c>
      <c r="C47" s="3">
        <f t="shared" si="1"/>
        <v>-22914.050413807341</v>
      </c>
      <c r="D47" s="3">
        <f t="shared" si="2"/>
        <v>-18551.730859701809</v>
      </c>
      <c r="E47" s="3">
        <f t="shared" si="10"/>
        <v>311954.73766745301</v>
      </c>
      <c r="F47" s="3">
        <f t="shared" si="4"/>
        <v>73321.986869019573</v>
      </c>
      <c r="G47" s="7">
        <f t="shared" si="5"/>
        <v>23892.154196632815</v>
      </c>
      <c r="H47" s="7">
        <f t="shared" si="6"/>
        <v>2321810.6774917105</v>
      </c>
      <c r="I47" s="7">
        <f t="shared" si="7"/>
        <v>2009855.9398242575</v>
      </c>
      <c r="J47" s="1">
        <f t="shared" si="3"/>
        <v>-797.41887064440675</v>
      </c>
      <c r="K47" s="8">
        <f t="shared" si="8"/>
        <v>1410.0382090196072</v>
      </c>
      <c r="L47" s="2">
        <v>0</v>
      </c>
      <c r="M47" s="2">
        <f>-N47*tax_rate</f>
        <v>-7964.0513988776056</v>
      </c>
      <c r="N47" s="7">
        <f t="shared" si="9"/>
        <v>31856.205595510422</v>
      </c>
      <c r="O47" s="2"/>
      <c r="P47" s="2"/>
      <c r="Q47" s="2"/>
    </row>
    <row r="48" spans="1:17" x14ac:dyDescent="0.2">
      <c r="A48">
        <v>21</v>
      </c>
      <c r="B48" s="3">
        <f t="shared" si="0"/>
        <v>-41465.78127350915</v>
      </c>
      <c r="C48" s="3">
        <f t="shared" si="1"/>
        <v>-24183.488806732272</v>
      </c>
      <c r="D48" s="3">
        <f t="shared" si="2"/>
        <v>-17282.292466776886</v>
      </c>
      <c r="E48" s="3">
        <f t="shared" si="10"/>
        <v>287771.24886072072</v>
      </c>
      <c r="F48" s="3">
        <f t="shared" si="4"/>
        <v>76988.08621247056</v>
      </c>
      <c r="G48" s="7">
        <f t="shared" si="5"/>
        <v>26641.728704221059</v>
      </c>
      <c r="H48" s="7">
        <f t="shared" si="6"/>
        <v>2484337.4249161305</v>
      </c>
      <c r="I48" s="7">
        <f t="shared" si="7"/>
        <v>2196566.1760554099</v>
      </c>
      <c r="J48" s="1">
        <f t="shared" si="3"/>
        <v>-797.41887064440675</v>
      </c>
      <c r="K48" s="8">
        <f t="shared" si="8"/>
        <v>1480.5401194705876</v>
      </c>
      <c r="L48" s="2">
        <v>0</v>
      </c>
      <c r="M48" s="2">
        <f>-N48*tax_rate</f>
        <v>-8880.5762347403524</v>
      </c>
      <c r="N48" s="7">
        <f t="shared" si="9"/>
        <v>35522.30493896141</v>
      </c>
      <c r="O48" s="2"/>
      <c r="P48" s="2"/>
      <c r="Q48" s="2"/>
    </row>
    <row r="49" spans="1:17" x14ac:dyDescent="0.2">
      <c r="A49">
        <v>22</v>
      </c>
      <c r="B49" s="3">
        <f t="shared" si="0"/>
        <v>-41465.78127350915</v>
      </c>
      <c r="C49" s="3">
        <f t="shared" si="1"/>
        <v>-25523.254086625235</v>
      </c>
      <c r="D49" s="3">
        <f t="shared" si="2"/>
        <v>-15942.527186883914</v>
      </c>
      <c r="E49" s="3">
        <f t="shared" si="10"/>
        <v>262247.99477409548</v>
      </c>
      <c r="F49" s="3">
        <f t="shared" si="4"/>
        <v>80837.490523094079</v>
      </c>
      <c r="G49" s="7">
        <f t="shared" si="5"/>
        <v>29528.781937188694</v>
      </c>
      <c r="H49" s="7">
        <f t="shared" si="6"/>
        <v>2658241.04466026</v>
      </c>
      <c r="I49" s="7">
        <f t="shared" si="7"/>
        <v>2395993.0498861643</v>
      </c>
      <c r="J49" s="1">
        <f t="shared" si="3"/>
        <v>-797.41887064440675</v>
      </c>
      <c r="K49" s="8">
        <f t="shared" si="8"/>
        <v>1554.567125444117</v>
      </c>
      <c r="L49" s="2">
        <v>0</v>
      </c>
      <c r="M49" s="2">
        <f>-N49*tax_rate</f>
        <v>-9842.9273123962321</v>
      </c>
      <c r="N49" s="7">
        <f t="shared" si="9"/>
        <v>39371.709249584928</v>
      </c>
      <c r="O49" s="2"/>
      <c r="P49" s="2"/>
      <c r="Q49" s="2"/>
    </row>
    <row r="50" spans="1:17" x14ac:dyDescent="0.2">
      <c r="A50">
        <v>23</v>
      </c>
      <c r="B50" s="3">
        <f t="shared" si="0"/>
        <v>-41465.78127350915</v>
      </c>
      <c r="C50" s="3">
        <f t="shared" si="1"/>
        <v>-26937.242363024274</v>
      </c>
      <c r="D50" s="3">
        <f t="shared" si="2"/>
        <v>-14528.538910484876</v>
      </c>
      <c r="E50" s="3">
        <f t="shared" si="10"/>
        <v>235310.75241107121</v>
      </c>
      <c r="F50" s="3">
        <f t="shared" si="4"/>
        <v>84879.365049248794</v>
      </c>
      <c r="G50" s="7">
        <f t="shared" si="5"/>
        <v>32560.187831804731</v>
      </c>
      <c r="H50" s="7">
        <f t="shared" si="6"/>
        <v>2844317.9177864785</v>
      </c>
      <c r="I50" s="7">
        <f t="shared" si="7"/>
        <v>2609007.1653754073</v>
      </c>
      <c r="J50" s="1">
        <f t="shared" si="3"/>
        <v>-797.41887064440675</v>
      </c>
      <c r="K50" s="8">
        <f t="shared" si="8"/>
        <v>1632.2954817163229</v>
      </c>
      <c r="L50" s="2">
        <v>0</v>
      </c>
      <c r="M50" s="2">
        <f>-N50*tax_rate</f>
        <v>-10853.395943934911</v>
      </c>
      <c r="N50" s="7">
        <f t="shared" si="9"/>
        <v>43413.583775739644</v>
      </c>
      <c r="O50" s="2"/>
      <c r="P50" s="2"/>
      <c r="Q50" s="2"/>
    </row>
    <row r="51" spans="1:17" x14ac:dyDescent="0.2">
      <c r="A51">
        <v>24</v>
      </c>
      <c r="B51" s="3">
        <f t="shared" si="0"/>
        <v>-41465.78127350915</v>
      </c>
      <c r="C51" s="3">
        <f t="shared" si="1"/>
        <v>-28429.565589935817</v>
      </c>
      <c r="D51" s="3">
        <f t="shared" si="2"/>
        <v>-13036.215683573331</v>
      </c>
      <c r="E51" s="3">
        <f t="shared" si="10"/>
        <v>206881.1868211354</v>
      </c>
      <c r="F51" s="3">
        <f t="shared" si="4"/>
        <v>89123.333301711231</v>
      </c>
      <c r="G51" s="7">
        <f t="shared" si="5"/>
        <v>35743.164021151562</v>
      </c>
      <c r="H51" s="7">
        <f t="shared" si="6"/>
        <v>3043420.172031532</v>
      </c>
      <c r="I51" s="7">
        <f t="shared" si="7"/>
        <v>2836538.9852103968</v>
      </c>
      <c r="J51" s="1">
        <f t="shared" si="3"/>
        <v>-797.41887064440675</v>
      </c>
      <c r="K51" s="8">
        <f t="shared" si="8"/>
        <v>1713.9102558021391</v>
      </c>
      <c r="L51" s="2">
        <v>0</v>
      </c>
      <c r="M51" s="2">
        <f>-N51*tax_rate</f>
        <v>-11914.38800705052</v>
      </c>
      <c r="N51" s="7">
        <f t="shared" si="9"/>
        <v>47657.552028202081</v>
      </c>
      <c r="O51" s="2"/>
      <c r="P51" s="2"/>
      <c r="Q51" s="2"/>
    </row>
    <row r="52" spans="1:17" x14ac:dyDescent="0.2">
      <c r="A52">
        <v>25</v>
      </c>
      <c r="B52" s="3">
        <f t="shared" si="0"/>
        <v>-41465.78127350915</v>
      </c>
      <c r="C52" s="3">
        <f t="shared" si="1"/>
        <v>-30004.563523618261</v>
      </c>
      <c r="D52" s="3">
        <f t="shared" si="2"/>
        <v>-11461.21774989089</v>
      </c>
      <c r="E52" s="3">
        <f t="shared" si="10"/>
        <v>176876.62329751713</v>
      </c>
      <c r="F52" s="3">
        <f t="shared" si="4"/>
        <v>93579.499966796793</v>
      </c>
      <c r="G52" s="7">
        <f t="shared" si="5"/>
        <v>39085.289019965734</v>
      </c>
      <c r="H52" s="7">
        <f t="shared" si="6"/>
        <v>3256459.5840737396</v>
      </c>
      <c r="I52" s="7">
        <f t="shared" si="7"/>
        <v>3079582.9607762224</v>
      </c>
      <c r="J52" s="1">
        <f t="shared" si="3"/>
        <v>-797.41887064440675</v>
      </c>
      <c r="K52" s="8">
        <f t="shared" si="8"/>
        <v>1799.605768592246</v>
      </c>
      <c r="L52" s="2">
        <v>0</v>
      </c>
      <c r="M52" s="2">
        <f>-N52*tax_rate</f>
        <v>-13028.429673321911</v>
      </c>
      <c r="N52" s="7">
        <f t="shared" si="9"/>
        <v>52113.718693287643</v>
      </c>
      <c r="O52" s="2"/>
      <c r="P52" s="2"/>
      <c r="Q52" s="2"/>
    </row>
    <row r="53" spans="1:17" x14ac:dyDescent="0.2">
      <c r="A53">
        <v>26</v>
      </c>
      <c r="B53" s="3">
        <f t="shared" si="0"/>
        <v>-41465.78127350915</v>
      </c>
      <c r="C53" s="3">
        <f t="shared" si="1"/>
        <v>-31666.816342826718</v>
      </c>
      <c r="D53" s="3">
        <f t="shared" si="2"/>
        <v>-9798.9649306824376</v>
      </c>
      <c r="E53" s="3">
        <f t="shared" si="10"/>
        <v>145209.8069546904</v>
      </c>
      <c r="F53" s="3">
        <f t="shared" si="4"/>
        <v>98258.474965136629</v>
      </c>
      <c r="G53" s="7">
        <f t="shared" si="5"/>
        <v>42594.520268720611</v>
      </c>
      <c r="H53" s="7">
        <f t="shared" si="6"/>
        <v>3484411.7549589016</v>
      </c>
      <c r="I53" s="7">
        <f t="shared" si="7"/>
        <v>3339201.9480042113</v>
      </c>
      <c r="J53" s="1">
        <f t="shared" si="3"/>
        <v>-797.41887064440675</v>
      </c>
      <c r="K53" s="8">
        <f t="shared" si="8"/>
        <v>1889.5860570218583</v>
      </c>
      <c r="L53" s="2">
        <v>0</v>
      </c>
      <c r="M53" s="2">
        <f>-N53*tax_rate</f>
        <v>-14198.17342290687</v>
      </c>
      <c r="N53" s="7">
        <f t="shared" si="9"/>
        <v>56792.693691627479</v>
      </c>
      <c r="O53" s="2"/>
      <c r="P53" s="2"/>
      <c r="Q53" s="2"/>
    </row>
    <row r="54" spans="1:17" x14ac:dyDescent="0.2">
      <c r="A54">
        <v>27</v>
      </c>
      <c r="B54" s="3">
        <f t="shared" si="0"/>
        <v>-41465.78127350915</v>
      </c>
      <c r="C54" s="3">
        <f t="shared" si="1"/>
        <v>-33421.157968219311</v>
      </c>
      <c r="D54" s="3">
        <f t="shared" si="2"/>
        <v>-8044.6233052898378</v>
      </c>
      <c r="E54" s="3">
        <f t="shared" si="10"/>
        <v>111788.64898647109</v>
      </c>
      <c r="F54" s="3">
        <f t="shared" si="4"/>
        <v>103171.39871339347</v>
      </c>
      <c r="G54" s="7">
        <f t="shared" si="5"/>
        <v>46279.213079913243</v>
      </c>
      <c r="H54" s="7">
        <f t="shared" si="6"/>
        <v>3728320.5778060248</v>
      </c>
      <c r="I54" s="7">
        <f t="shared" si="7"/>
        <v>3616531.9288195539</v>
      </c>
      <c r="J54" s="1">
        <f t="shared" si="3"/>
        <v>-797.41887064440675</v>
      </c>
      <c r="K54" s="8">
        <f t="shared" si="8"/>
        <v>1984.0653598729514</v>
      </c>
      <c r="L54" s="2">
        <v>0</v>
      </c>
      <c r="M54" s="2">
        <f>-N54*tax_rate</f>
        <v>-15426.40435997108</v>
      </c>
      <c r="N54" s="7">
        <f t="shared" si="9"/>
        <v>61705.617439884321</v>
      </c>
      <c r="O54" s="2"/>
      <c r="P54" s="2"/>
      <c r="Q54" s="2"/>
    </row>
    <row r="55" spans="1:17" x14ac:dyDescent="0.2">
      <c r="A55">
        <v>28</v>
      </c>
      <c r="B55" s="3">
        <f t="shared" si="0"/>
        <v>-41465.78127350915</v>
      </c>
      <c r="C55" s="3">
        <f t="shared" si="1"/>
        <v>-35272.690119658662</v>
      </c>
      <c r="D55" s="3">
        <f t="shared" si="2"/>
        <v>-6193.0911538504888</v>
      </c>
      <c r="E55" s="3">
        <f t="shared" si="10"/>
        <v>76515.958866812434</v>
      </c>
      <c r="F55" s="3">
        <f t="shared" si="4"/>
        <v>108329.96864906316</v>
      </c>
      <c r="G55" s="7">
        <f t="shared" si="5"/>
        <v>50148.1405316655</v>
      </c>
      <c r="H55" s="7">
        <f t="shared" si="6"/>
        <v>3989303.0182524468</v>
      </c>
      <c r="I55" s="7">
        <f t="shared" si="7"/>
        <v>3912787.0593856345</v>
      </c>
      <c r="J55" s="1">
        <f t="shared" si="3"/>
        <v>-797.41887064440675</v>
      </c>
      <c r="K55" s="8">
        <f t="shared" si="8"/>
        <v>2083.2686278665992</v>
      </c>
      <c r="L55" s="2">
        <v>0</v>
      </c>
      <c r="M55" s="2">
        <f>-N55*tax_rate</f>
        <v>-16716.0468438885</v>
      </c>
      <c r="N55" s="7">
        <f t="shared" si="9"/>
        <v>66864.187375554</v>
      </c>
      <c r="O55" s="2"/>
      <c r="P55" s="2"/>
      <c r="Q55" s="2"/>
    </row>
    <row r="56" spans="1:17" x14ac:dyDescent="0.2">
      <c r="A56">
        <v>29</v>
      </c>
      <c r="B56" s="3">
        <f t="shared" si="0"/>
        <v>-41465.78127350915</v>
      </c>
      <c r="C56" s="3">
        <f t="shared" si="1"/>
        <v>-37226.797152287756</v>
      </c>
      <c r="D56" s="3">
        <f t="shared" si="2"/>
        <v>-4238.9841212213978</v>
      </c>
      <c r="E56" s="3">
        <f t="shared" si="10"/>
        <v>39289.161714524678</v>
      </c>
      <c r="F56" s="3">
        <f t="shared" si="4"/>
        <v>113746.46708151633</v>
      </c>
      <c r="G56" s="7">
        <f t="shared" si="5"/>
        <v>54210.514356005377</v>
      </c>
      <c r="H56" s="7">
        <f t="shared" si="6"/>
        <v>4268554.2295301184</v>
      </c>
      <c r="I56" s="7">
        <f t="shared" si="7"/>
        <v>4229265.0678155934</v>
      </c>
      <c r="J56" s="1">
        <f t="shared" si="3"/>
        <v>-797.41887064440675</v>
      </c>
      <c r="K56" s="8">
        <f t="shared" si="8"/>
        <v>2187.4320592599292</v>
      </c>
      <c r="L56" s="2">
        <v>0</v>
      </c>
      <c r="M56" s="2">
        <f>-N56*tax_rate</f>
        <v>-18070.171452001792</v>
      </c>
      <c r="N56" s="7">
        <f t="shared" si="9"/>
        <v>72280.685808007169</v>
      </c>
      <c r="O56" s="2"/>
      <c r="P56" s="2"/>
      <c r="Q56" s="2"/>
    </row>
    <row r="57" spans="1:17" x14ac:dyDescent="0.2">
      <c r="A57">
        <v>30</v>
      </c>
      <c r="B57" s="3">
        <f t="shared" si="0"/>
        <v>-41465.78127350915</v>
      </c>
      <c r="C57" s="3">
        <f t="shared" si="1"/>
        <v>-39289.161714524496</v>
      </c>
      <c r="D57" s="3">
        <f t="shared" si="2"/>
        <v>-2176.619558984657</v>
      </c>
      <c r="E57" s="3">
        <f t="shared" si="10"/>
        <v>1.8189894035458565E-10</v>
      </c>
      <c r="F57" s="3">
        <f t="shared" si="4"/>
        <v>119433.79043559213</v>
      </c>
      <c r="G57" s="7">
        <f t="shared" si="5"/>
        <v>58476.006871562233</v>
      </c>
      <c r="H57" s="7">
        <f t="shared" si="6"/>
        <v>4567353.0255972268</v>
      </c>
      <c r="I57" s="7">
        <f t="shared" si="7"/>
        <v>4567353.0255972268</v>
      </c>
      <c r="J57" s="1">
        <f t="shared" si="3"/>
        <v>-797.41887064440675</v>
      </c>
      <c r="K57" s="8">
        <f t="shared" si="8"/>
        <v>2296.8036622229256</v>
      </c>
      <c r="L57" s="2">
        <v>0</v>
      </c>
      <c r="M57" s="2">
        <f>-N57*tax_rate</f>
        <v>-19492.002290520744</v>
      </c>
      <c r="N57" s="7">
        <f t="shared" si="9"/>
        <v>77968.009162082977</v>
      </c>
      <c r="O57" s="2"/>
      <c r="P57" s="2"/>
      <c r="Q57" s="2"/>
    </row>
    <row r="58" spans="1:17" x14ac:dyDescent="0.2">
      <c r="K58" s="1"/>
      <c r="L58" s="2"/>
      <c r="M58" s="2"/>
      <c r="O58" s="2"/>
      <c r="P58" s="2"/>
      <c r="Q58" s="2"/>
    </row>
    <row r="59" spans="1:17" x14ac:dyDescent="0.2">
      <c r="K59" s="1"/>
      <c r="L59" s="2"/>
      <c r="M59" s="2"/>
      <c r="O59" s="2"/>
      <c r="P59" s="2"/>
      <c r="Q59" s="2"/>
    </row>
    <row r="60" spans="1:17" x14ac:dyDescent="0.2">
      <c r="K60" s="1"/>
      <c r="L60" s="2"/>
      <c r="M60" s="2"/>
      <c r="O60" s="2"/>
      <c r="P60" s="2"/>
      <c r="Q60" s="2"/>
    </row>
    <row r="61" spans="1:17" x14ac:dyDescent="0.2">
      <c r="K61" s="1"/>
      <c r="L61" s="2"/>
      <c r="M61" s="2"/>
      <c r="O61" s="2"/>
      <c r="P61" s="2"/>
      <c r="Q61" s="2"/>
    </row>
    <row r="62" spans="1:17" x14ac:dyDescent="0.2">
      <c r="K62" s="1"/>
      <c r="Q62" s="2"/>
    </row>
  </sheetData>
  <conditionalFormatting sqref="G1:I1048576 N1:N1048576"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b0dfb63-2604-44bb-96be-964f1341999a}" enabled="1" method="Privileged" siteId="{45d5d807-c5ae-44c5-bb86-42f20fdebfe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finance</vt:lpstr>
      <vt:lpstr>Amount</vt:lpstr>
      <vt:lpstr>Annual_Rate</vt:lpstr>
      <vt:lpstr>cap_appreciation_rate</vt:lpstr>
      <vt:lpstr>Initial_Value</vt:lpstr>
      <vt:lpstr>Payments___Year</vt:lpstr>
      <vt:lpstr>rental_growth</vt:lpstr>
      <vt:lpstr>rental_income</vt:lpstr>
      <vt:lpstr>rental_yield</vt:lpstr>
      <vt:lpstr>tax_rate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Jose.BibinM[HRDIV]</dc:creator>
  <cp:lastModifiedBy>Bibin Jose</cp:lastModifiedBy>
  <dcterms:created xsi:type="dcterms:W3CDTF">2025-11-13T01:01:54Z</dcterms:created>
  <dcterms:modified xsi:type="dcterms:W3CDTF">2025-11-25T13:51:04Z</dcterms:modified>
</cp:coreProperties>
</file>