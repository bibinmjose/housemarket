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4047657\Documents\calculations\hmark\"/>
    </mc:Choice>
  </mc:AlternateContent>
  <xr:revisionPtr revIDLastSave="0" documentId="13_ncr:1_{2EC35444-BD8A-4021-BB78-97FE50048D44}" xr6:coauthVersionLast="47" xr6:coauthVersionMax="47" xr10:uidLastSave="{00000000-0000-0000-0000-000000000000}"/>
  <bookViews>
    <workbookView xWindow="60720" yWindow="870" windowWidth="21795" windowHeight="14535" xr2:uid="{61E349DD-C396-4897-954F-94B6F0CC0F58}"/>
  </bookViews>
  <sheets>
    <sheet name="finance" sheetId="2" r:id="rId1"/>
  </sheets>
  <definedNames>
    <definedName name="Amount">finance!$B$4</definedName>
    <definedName name="Annual_Rate">finance!$B$1</definedName>
    <definedName name="cap_appreciation_rate">finance!$E$1</definedName>
    <definedName name="Initial_Value">finance!$B$5</definedName>
    <definedName name="Payments___Year">finance!$B$2</definedName>
    <definedName name="rental_growth">finance!$E$4</definedName>
    <definedName name="rental_income">finance!$E$2</definedName>
    <definedName name="rental_yield">finance!$E$3</definedName>
    <definedName name="Years">finance!$B$3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2" l="1"/>
  <c r="H29" i="2" s="1"/>
  <c r="H30" i="2" s="1"/>
  <c r="H31" i="2" s="1"/>
  <c r="H32" i="2" s="1"/>
  <c r="H33" i="2" s="1"/>
  <c r="H34" i="2" s="1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K28" i="2"/>
  <c r="F28" i="2" s="1"/>
  <c r="K29" i="2" l="1"/>
  <c r="B30" i="2"/>
  <c r="C30" i="2"/>
  <c r="D30" i="2"/>
  <c r="M30" i="2" s="1"/>
  <c r="B31" i="2"/>
  <c r="C31" i="2"/>
  <c r="D31" i="2"/>
  <c r="M31" i="2" s="1"/>
  <c r="B32" i="2"/>
  <c r="C32" i="2"/>
  <c r="D32" i="2"/>
  <c r="M32" i="2" s="1"/>
  <c r="B33" i="2"/>
  <c r="C33" i="2"/>
  <c r="D33" i="2"/>
  <c r="M33" i="2" s="1"/>
  <c r="B34" i="2"/>
  <c r="C34" i="2"/>
  <c r="D34" i="2"/>
  <c r="M34" i="2" s="1"/>
  <c r="B35" i="2"/>
  <c r="C35" i="2"/>
  <c r="D35" i="2"/>
  <c r="M35" i="2" s="1"/>
  <c r="B36" i="2"/>
  <c r="C36" i="2"/>
  <c r="D36" i="2"/>
  <c r="M36" i="2" s="1"/>
  <c r="B37" i="2"/>
  <c r="C37" i="2"/>
  <c r="D37" i="2"/>
  <c r="M37" i="2" s="1"/>
  <c r="B38" i="2"/>
  <c r="C38" i="2"/>
  <c r="D38" i="2"/>
  <c r="M38" i="2" s="1"/>
  <c r="B39" i="2"/>
  <c r="C39" i="2"/>
  <c r="D39" i="2"/>
  <c r="M39" i="2" s="1"/>
  <c r="B40" i="2"/>
  <c r="C40" i="2"/>
  <c r="D40" i="2"/>
  <c r="M40" i="2" s="1"/>
  <c r="B41" i="2"/>
  <c r="C41" i="2"/>
  <c r="D41" i="2"/>
  <c r="M41" i="2" s="1"/>
  <c r="B42" i="2"/>
  <c r="C42" i="2"/>
  <c r="D42" i="2"/>
  <c r="M42" i="2" s="1"/>
  <c r="B43" i="2"/>
  <c r="C43" i="2"/>
  <c r="D43" i="2"/>
  <c r="M43" i="2" s="1"/>
  <c r="B44" i="2"/>
  <c r="C44" i="2"/>
  <c r="D44" i="2"/>
  <c r="M44" i="2" s="1"/>
  <c r="B45" i="2"/>
  <c r="C45" i="2"/>
  <c r="D45" i="2"/>
  <c r="M45" i="2" s="1"/>
  <c r="B46" i="2"/>
  <c r="C46" i="2"/>
  <c r="D46" i="2"/>
  <c r="M46" i="2" s="1"/>
  <c r="B47" i="2"/>
  <c r="C47" i="2"/>
  <c r="D47" i="2"/>
  <c r="M47" i="2" s="1"/>
  <c r="B48" i="2"/>
  <c r="C48" i="2"/>
  <c r="D48" i="2"/>
  <c r="M48" i="2" s="1"/>
  <c r="B49" i="2"/>
  <c r="C49" i="2"/>
  <c r="D49" i="2"/>
  <c r="M49" i="2" s="1"/>
  <c r="B50" i="2"/>
  <c r="C50" i="2"/>
  <c r="D50" i="2"/>
  <c r="M50" i="2" s="1"/>
  <c r="B51" i="2"/>
  <c r="C51" i="2"/>
  <c r="D51" i="2"/>
  <c r="M51" i="2" s="1"/>
  <c r="B52" i="2"/>
  <c r="C52" i="2"/>
  <c r="D52" i="2"/>
  <c r="M52" i="2" s="1"/>
  <c r="B53" i="2"/>
  <c r="C53" i="2"/>
  <c r="D53" i="2"/>
  <c r="M53" i="2" s="1"/>
  <c r="B54" i="2"/>
  <c r="C54" i="2"/>
  <c r="D54" i="2"/>
  <c r="M54" i="2" s="1"/>
  <c r="B55" i="2"/>
  <c r="C55" i="2"/>
  <c r="D55" i="2"/>
  <c r="M55" i="2" s="1"/>
  <c r="B56" i="2"/>
  <c r="C56" i="2"/>
  <c r="D56" i="2"/>
  <c r="M56" i="2" s="1"/>
  <c r="B57" i="2"/>
  <c r="C57" i="2"/>
  <c r="D57" i="2"/>
  <c r="M57" i="2" s="1"/>
  <c r="B29" i="2"/>
  <c r="C29" i="2"/>
  <c r="D29" i="2"/>
  <c r="M29" i="2" s="1"/>
  <c r="D28" i="2"/>
  <c r="M28" i="2" s="1"/>
  <c r="C28" i="2"/>
  <c r="E28" i="2" s="1"/>
  <c r="I28" i="2" s="1"/>
  <c r="B28" i="2"/>
  <c r="N28" i="2" l="1"/>
  <c r="G28" i="2"/>
  <c r="J35" i="2"/>
  <c r="J30" i="2"/>
  <c r="J39" i="2"/>
  <c r="J48" i="2"/>
  <c r="J34" i="2"/>
  <c r="J44" i="2"/>
  <c r="J53" i="2"/>
  <c r="J57" i="2"/>
  <c r="J43" i="2"/>
  <c r="J54" i="2"/>
  <c r="J40" i="2"/>
  <c r="J52" i="2"/>
  <c r="J38" i="2"/>
  <c r="J47" i="2"/>
  <c r="J33" i="2"/>
  <c r="J49" i="2"/>
  <c r="J29" i="2"/>
  <c r="J56" i="2"/>
  <c r="J42" i="2"/>
  <c r="J51" i="2"/>
  <c r="J37" i="2"/>
  <c r="J32" i="2"/>
  <c r="J55" i="2"/>
  <c r="J41" i="2"/>
  <c r="J46" i="2"/>
  <c r="J28" i="2"/>
  <c r="J50" i="2"/>
  <c r="J36" i="2"/>
  <c r="J45" i="2"/>
  <c r="J31" i="2"/>
  <c r="F29" i="2"/>
  <c r="N29" i="2" s="1"/>
  <c r="K30" i="2"/>
  <c r="E29" i="2"/>
  <c r="I29" i="2" s="1"/>
  <c r="G29" i="2" l="1"/>
  <c r="F30" i="2"/>
  <c r="K31" i="2"/>
  <c r="E30" i="2"/>
  <c r="I30" i="2" s="1"/>
  <c r="N30" i="2" l="1"/>
  <c r="G30" i="2"/>
  <c r="K32" i="2"/>
  <c r="F31" i="2"/>
  <c r="E31" i="2"/>
  <c r="I31" i="2" s="1"/>
  <c r="N31" i="2" l="1"/>
  <c r="G31" i="2"/>
  <c r="K33" i="2"/>
  <c r="F32" i="2"/>
  <c r="E32" i="2"/>
  <c r="I32" i="2" s="1"/>
  <c r="G32" i="2" l="1"/>
  <c r="N32" i="2"/>
  <c r="K34" i="2"/>
  <c r="F33" i="2"/>
  <c r="E33" i="2"/>
  <c r="I33" i="2" s="1"/>
  <c r="N33" i="2" l="1"/>
  <c r="G33" i="2"/>
  <c r="K35" i="2"/>
  <c r="F34" i="2"/>
  <c r="E34" i="2"/>
  <c r="I34" i="2" s="1"/>
  <c r="G34" i="2" l="1"/>
  <c r="N34" i="2"/>
  <c r="K36" i="2"/>
  <c r="F35" i="2"/>
  <c r="E35" i="2"/>
  <c r="I35" i="2" s="1"/>
  <c r="N35" i="2" l="1"/>
  <c r="G35" i="2"/>
  <c r="K37" i="2"/>
  <c r="F36" i="2"/>
  <c r="E36" i="2"/>
  <c r="I36" i="2" s="1"/>
  <c r="N36" i="2" l="1"/>
  <c r="G36" i="2"/>
  <c r="K38" i="2"/>
  <c r="F37" i="2"/>
  <c r="E37" i="2"/>
  <c r="I37" i="2" s="1"/>
  <c r="N37" i="2" l="1"/>
  <c r="G37" i="2"/>
  <c r="K39" i="2"/>
  <c r="F38" i="2"/>
  <c r="E38" i="2"/>
  <c r="I38" i="2" s="1"/>
  <c r="N38" i="2" l="1"/>
  <c r="G38" i="2"/>
  <c r="K40" i="2"/>
  <c r="F39" i="2"/>
  <c r="E39" i="2"/>
  <c r="I39" i="2" s="1"/>
  <c r="G39" i="2" l="1"/>
  <c r="N39" i="2"/>
  <c r="K41" i="2"/>
  <c r="F40" i="2"/>
  <c r="E40" i="2"/>
  <c r="I40" i="2" s="1"/>
  <c r="N40" i="2" l="1"/>
  <c r="G40" i="2"/>
  <c r="K42" i="2"/>
  <c r="F41" i="2"/>
  <c r="E41" i="2"/>
  <c r="I41" i="2" s="1"/>
  <c r="G41" i="2" l="1"/>
  <c r="N41" i="2"/>
  <c r="F42" i="2"/>
  <c r="K43" i="2"/>
  <c r="E42" i="2"/>
  <c r="I42" i="2" s="1"/>
  <c r="G42" i="2" l="1"/>
  <c r="N42" i="2"/>
  <c r="F43" i="2"/>
  <c r="K44" i="2"/>
  <c r="E43" i="2"/>
  <c r="I43" i="2" s="1"/>
  <c r="G43" i="2" l="1"/>
  <c r="N43" i="2"/>
  <c r="K45" i="2"/>
  <c r="F44" i="2"/>
  <c r="E44" i="2"/>
  <c r="I44" i="2" s="1"/>
  <c r="N44" i="2" l="1"/>
  <c r="G44" i="2"/>
  <c r="K46" i="2"/>
  <c r="F45" i="2"/>
  <c r="E45" i="2"/>
  <c r="I45" i="2" s="1"/>
  <c r="N45" i="2" l="1"/>
  <c r="G45" i="2"/>
  <c r="K47" i="2"/>
  <c r="F46" i="2"/>
  <c r="E46" i="2"/>
  <c r="I46" i="2" s="1"/>
  <c r="N46" i="2" l="1"/>
  <c r="G46" i="2"/>
  <c r="K48" i="2"/>
  <c r="F47" i="2"/>
  <c r="E47" i="2"/>
  <c r="I47" i="2" s="1"/>
  <c r="N47" i="2" l="1"/>
  <c r="G47" i="2"/>
  <c r="K49" i="2"/>
  <c r="F48" i="2"/>
  <c r="E48" i="2"/>
  <c r="I48" i="2" s="1"/>
  <c r="G48" i="2" l="1"/>
  <c r="N48" i="2"/>
  <c r="K50" i="2"/>
  <c r="F49" i="2"/>
  <c r="E49" i="2"/>
  <c r="I49" i="2" s="1"/>
  <c r="N49" i="2" l="1"/>
  <c r="G49" i="2"/>
  <c r="K51" i="2"/>
  <c r="F50" i="2"/>
  <c r="E50" i="2"/>
  <c r="I50" i="2" s="1"/>
  <c r="N50" i="2" l="1"/>
  <c r="G50" i="2"/>
  <c r="K52" i="2"/>
  <c r="F51" i="2"/>
  <c r="E51" i="2"/>
  <c r="I51" i="2" s="1"/>
  <c r="G51" i="2" l="1"/>
  <c r="N51" i="2"/>
  <c r="K53" i="2"/>
  <c r="F52" i="2"/>
  <c r="E52" i="2"/>
  <c r="I52" i="2" s="1"/>
  <c r="G52" i="2" l="1"/>
  <c r="N52" i="2"/>
  <c r="K54" i="2"/>
  <c r="F53" i="2"/>
  <c r="E53" i="2"/>
  <c r="I53" i="2" s="1"/>
  <c r="G53" i="2" l="1"/>
  <c r="N53" i="2"/>
  <c r="K55" i="2"/>
  <c r="F54" i="2"/>
  <c r="E54" i="2"/>
  <c r="I54" i="2" s="1"/>
  <c r="N54" i="2" l="1"/>
  <c r="G54" i="2"/>
  <c r="K56" i="2"/>
  <c r="F55" i="2"/>
  <c r="E55" i="2"/>
  <c r="I55" i="2" s="1"/>
  <c r="N55" i="2" l="1"/>
  <c r="G55" i="2"/>
  <c r="F56" i="2"/>
  <c r="K57" i="2"/>
  <c r="F57" i="2" s="1"/>
  <c r="E56" i="2"/>
  <c r="I56" i="2" s="1"/>
  <c r="N57" i="2" l="1"/>
  <c r="G57" i="2"/>
  <c r="G56" i="2"/>
  <c r="N56" i="2"/>
  <c r="E57" i="2"/>
  <c r="I57" i="2" s="1"/>
</calcChain>
</file>

<file path=xl/sharedStrings.xml><?xml version="1.0" encoding="utf-8"?>
<sst xmlns="http://schemas.openxmlformats.org/spreadsheetml/2006/main" count="24" uniqueCount="24">
  <si>
    <t>cap_appreciation_rate</t>
  </si>
  <si>
    <t>yearend_cap_appreciation</t>
  </si>
  <si>
    <t>Annual Rate</t>
  </si>
  <si>
    <t>Years</t>
  </si>
  <si>
    <t>Amount</t>
  </si>
  <si>
    <t>Payment Number</t>
  </si>
  <si>
    <t>Payment</t>
  </si>
  <si>
    <t xml:space="preserve">Principal </t>
  </si>
  <si>
    <t>Interest</t>
  </si>
  <si>
    <t>Balance</t>
  </si>
  <si>
    <t>Payments / Year</t>
  </si>
  <si>
    <t>weekly_payment</t>
  </si>
  <si>
    <t>rental income</t>
  </si>
  <si>
    <t>weekly_yield</t>
  </si>
  <si>
    <t>rental_yield</t>
  </si>
  <si>
    <t>yield_yearly</t>
  </si>
  <si>
    <t>rental growth</t>
  </si>
  <si>
    <t>net_capital growth</t>
  </si>
  <si>
    <t>cashflow_0</t>
  </si>
  <si>
    <t>Initial Value</t>
  </si>
  <si>
    <t>tax_incentive</t>
  </si>
  <si>
    <t>cashflow (no tax deduction)</t>
  </si>
  <si>
    <t>cashflow (w/ tax deduction)</t>
  </si>
  <si>
    <t>depreciationschedule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</si>
</sst>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  <numFmt numFmtId="165" formatCode="0.000%"/>
    <numFmt numFmtId="166" formatCode="_-&quot;$&quot;* #,##0_-;\-&quot;$&quot;* #,##0_-;_-&quot;$&quot;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3">
    <xf numFmtId="0" fontId="0" fillId="0" borderId="0" xfId="0"/>
    <xf numFmtId="1" fontId="0" fillId="0" borderId="0" xfId="0" applyNumberFormat="1"/>
    <xf numFmtId="164" fontId="0" fillId="0" borderId="0" xfId="1" applyNumberFormat="1" applyFont="1"/>
    <xf numFmtId="3" fontId="0" fillId="0" borderId="0" xfId="0" applyNumberFormat="1"/>
    <xf numFmtId="9" fontId="0" fillId="0" borderId="0" xfId="2" applyFont="1"/>
    <xf numFmtId="165" fontId="0" fillId="0" borderId="0" xfId="2" applyNumberFormat="1" applyFont="1"/>
    <xf numFmtId="164" fontId="0" fillId="0" borderId="0" xfId="1" applyNumberFormat="1" applyFont="1" applyAlignment="1">
      <alignment horizontal="left" vertical="center"/>
    </xf>
    <xf numFmtId="44" fontId="0" fillId="0" borderId="0" xfId="3" applyFont="1"/>
    <xf numFmtId="166" fontId="0" fillId="0" borderId="0" xfId="3" applyNumberFormat="1" applyFont="1"/>
    <xf numFmtId="1" fontId="0" fillId="0" borderId="0" xfId="3" applyNumberFormat="1" applyFont="1"/>
    <xf numFmtId="0" fontId="2" fillId="0" borderId="0" xfId="0" applyFont="1"/>
    <xf numFmtId="3" fontId="2" fillId="0" borderId="0" xfId="0" applyNumberFormat="1" applyFont="1"/>
    <xf numFmtId="166" fontId="2" fillId="0" borderId="0" xfId="3" applyNumberFormat="1" applyFont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b val="0"/>
        <i val="0"/>
        <strike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801873618638647E-2"/>
          <c:y val="8.0152671755725186E-2"/>
          <c:w val="0.89644852898437299"/>
          <c:h val="0.85520015627817525"/>
        </c:manualLayout>
      </c:layout>
      <c:barChart>
        <c:barDir val="col"/>
        <c:grouping val="clustered"/>
        <c:varyColors val="0"/>
        <c:ser>
          <c:idx val="11"/>
          <c:order val="11"/>
          <c:tx>
            <c:strRef>
              <c:f>finance!$N$27</c:f>
              <c:strCache>
                <c:ptCount val="1"/>
                <c:pt idx="0">
                  <c:v> cashflow (no tax deduction) </c:v>
                </c:pt>
              </c:strCache>
            </c:strRef>
          </c:tx>
          <c:spPr>
            <a:solidFill>
              <a:schemeClr val="bg2">
                <a:lumMod val="50000"/>
                <a:alpha val="50000"/>
              </a:schemeClr>
            </a:solidFill>
            <a:ln>
              <a:solidFill>
                <a:schemeClr val="accent1"/>
              </a:solidFill>
            </a:ln>
            <a:effectLst/>
          </c:spPr>
          <c:invertIfNegative val="0"/>
          <c:cat>
            <c:strLit>
              <c:ptCount val="14"/>
              <c:pt idx="0">
                <c:v> $1 </c:v>
              </c:pt>
              <c:pt idx="1">
                <c:v> $2 </c:v>
              </c:pt>
              <c:pt idx="2">
                <c:v> $3 </c:v>
              </c:pt>
              <c:pt idx="3">
                <c:v> $4 </c:v>
              </c:pt>
              <c:pt idx="4">
                <c:v> $5 </c:v>
              </c:pt>
              <c:pt idx="5">
                <c:v> $6 </c:v>
              </c:pt>
              <c:pt idx="6">
                <c:v> $7 </c:v>
              </c:pt>
              <c:pt idx="7">
                <c:v> $8 </c:v>
              </c:pt>
              <c:pt idx="8">
                <c:v> $9 </c:v>
              </c:pt>
              <c:pt idx="9">
                <c:v> $10 </c:v>
              </c:pt>
              <c:pt idx="10">
                <c:v> $11 </c:v>
              </c:pt>
              <c:pt idx="11">
                <c:v> $12 </c:v>
              </c:pt>
              <c:pt idx="12">
                <c:v> $13 </c:v>
              </c:pt>
              <c:pt idx="13">
                <c:v> $14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finance!$N$28:$N$57</c15:sqref>
                  </c15:fullRef>
                </c:ext>
              </c:extLst>
              <c:f>finance!$N$28:$N$41</c:f>
              <c:numCache>
                <c:formatCode>_-"$"* #,##0_-;\-"$"* #,##0_-;_-"$"* "-"??_-;_-@_-</c:formatCode>
                <c:ptCount val="14"/>
                <c:pt idx="0">
                  <c:v>-16237.192575882436</c:v>
                </c:pt>
                <c:pt idx="1">
                  <c:v>-14692.792575882435</c:v>
                </c:pt>
                <c:pt idx="2">
                  <c:v>-13055.728575882429</c:v>
                </c:pt>
                <c:pt idx="3">
                  <c:v>-11320.440735882425</c:v>
                </c:pt>
                <c:pt idx="4">
                  <c:v>-9481.0356254824255</c:v>
                </c:pt>
                <c:pt idx="5">
                  <c:v>-7531.2662084584226</c:v>
                </c:pt>
                <c:pt idx="6">
                  <c:v>-5464.5106264129863</c:v>
                </c:pt>
                <c:pt idx="7">
                  <c:v>-3273.7497094448117</c:v>
                </c:pt>
                <c:pt idx="8">
                  <c:v>-951.54313745855325</c:v>
                </c:pt>
                <c:pt idx="9">
                  <c:v>1509.995828846877</c:v>
                </c:pt>
                <c:pt idx="10">
                  <c:v>4119.2271331306401</c:v>
                </c:pt>
                <c:pt idx="11">
                  <c:v>6885.0123156714253</c:v>
                </c:pt>
                <c:pt idx="12">
                  <c:v>9816.7446091646561</c:v>
                </c:pt>
                <c:pt idx="13">
                  <c:v>12924.380840267484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EE-498D-B57F-5F88C9FE5CEF}"/>
            </c:ext>
          </c:extLst>
        </c:ser>
        <c:ser>
          <c:idx val="6"/>
          <c:order val="6"/>
          <c:tx>
            <c:strRef>
              <c:f>finance!$G$27</c:f>
              <c:strCache>
                <c:ptCount val="1"/>
                <c:pt idx="0">
                  <c:v> cashflow (w/ tax deduction) </c:v>
                </c:pt>
              </c:strCache>
            </c:strRef>
          </c:tx>
          <c:spPr>
            <a:solidFill>
              <a:schemeClr val="tx2">
                <a:lumMod val="25000"/>
                <a:lumOff val="75000"/>
                <a:alpha val="50000"/>
              </a:schemeClr>
            </a:solidFill>
            <a:ln>
              <a:solidFill>
                <a:schemeClr val="accent1"/>
              </a:solidFill>
            </a:ln>
            <a:effectLst/>
          </c:spPr>
          <c:invertIfNegative val="0"/>
          <c:cat>
            <c:strLit>
              <c:ptCount val="14"/>
              <c:pt idx="0">
                <c:v> $1 </c:v>
              </c:pt>
              <c:pt idx="1">
                <c:v> $2 </c:v>
              </c:pt>
              <c:pt idx="2">
                <c:v> $3 </c:v>
              </c:pt>
              <c:pt idx="3">
                <c:v> $4 </c:v>
              </c:pt>
              <c:pt idx="4">
                <c:v> $5 </c:v>
              </c:pt>
              <c:pt idx="5">
                <c:v> $6 </c:v>
              </c:pt>
              <c:pt idx="6">
                <c:v> $7 </c:v>
              </c:pt>
              <c:pt idx="7">
                <c:v> $8 </c:v>
              </c:pt>
              <c:pt idx="8">
                <c:v> $9 </c:v>
              </c:pt>
              <c:pt idx="9">
                <c:v> $10 </c:v>
              </c:pt>
              <c:pt idx="10">
                <c:v> $11 </c:v>
              </c:pt>
              <c:pt idx="11">
                <c:v> $12 </c:v>
              </c:pt>
              <c:pt idx="12">
                <c:v> $13 </c:v>
              </c:pt>
              <c:pt idx="13">
                <c:v> $14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finance!$G$28:$G$57</c15:sqref>
                  </c15:fullRef>
                </c:ext>
              </c:extLst>
              <c:f>finance!$G$28:$G$41</c:f>
              <c:numCache>
                <c:formatCode>_-"$"* #,##0_-;\-"$"* #,##0_-;_-"$"* "-"??_-;_-@_-</c:formatCode>
                <c:ptCount val="14"/>
                <c:pt idx="0">
                  <c:v>-9507.2005758824362</c:v>
                </c:pt>
                <c:pt idx="1">
                  <c:v>-8055.0663128232127</c:v>
                </c:pt>
                <c:pt idx="2">
                  <c:v>-6515.3795715905026</c:v>
                </c:pt>
                <c:pt idx="3">
                  <c:v>-4882.863690493502</c:v>
                </c:pt>
                <c:pt idx="4">
                  <c:v>-3151.9241055197335</c:v>
                </c:pt>
                <c:pt idx="5">
                  <c:v>-1316.6292040305761</c:v>
                </c:pt>
                <c:pt idx="6">
                  <c:v>629.30997431938704</c:v>
                </c:pt>
                <c:pt idx="7">
                  <c:v>2692.561258827358</c:v>
                </c:pt>
                <c:pt idx="8">
                  <c:v>4880.1941647151161</c:v>
                </c:pt>
                <c:pt idx="9">
                  <c:v>7199.7040838201901</c:v>
                </c:pt>
                <c:pt idx="10">
                  <c:v>9659.0379316886974</c:v>
                </c:pt>
                <c:pt idx="11">
                  <c:v>12266.621338728823</c:v>
                </c:pt>
                <c:pt idx="12">
                  <c:v>15031.387478358654</c:v>
                </c:pt>
                <c:pt idx="13">
                  <c:v>17962.807630674055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856-4398-A86C-ECCE62D4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9075144"/>
        <c:axId val="509074424"/>
        <c:extLst>
          <c:ext xmlns:c15="http://schemas.microsoft.com/office/drawing/2012/chart" uri="{02D57815-91ED-43cb-92C2-25804820EDAC}">
            <c15:filteredBarSeries>
              <c15:ser>
                <c:idx val="10"/>
                <c:order val="10"/>
                <c:tx>
                  <c:strRef>
                    <c:extLst>
                      <c:ext uri="{02D57815-91ED-43cb-92C2-25804820EDAC}">
                        <c15:formulaRef>
                          <c15:sqref>finance!$M$27</c15:sqref>
                        </c15:formulaRef>
                      </c:ext>
                    </c:extLst>
                    <c:strCache>
                      <c:ptCount val="1"/>
                      <c:pt idx="0">
                        <c:v>tax_incentive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finance!$M$28:$M$57</c15:sqref>
                        </c15:fullRef>
                        <c15:formulaRef>
                          <c15:sqref>finance!$M$28:$M$41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6729.9920000000002</c:v>
                      </c:pt>
                      <c:pt idx="1">
                        <c:v>6637.7262630592222</c:v>
                      </c:pt>
                      <c:pt idx="2">
                        <c:v>6540.3490042919266</c:v>
                      </c:pt>
                      <c:pt idx="3">
                        <c:v>6437.5770453889227</c:v>
                      </c:pt>
                      <c:pt idx="4">
                        <c:v>6329.111519962692</c:v>
                      </c:pt>
                      <c:pt idx="5">
                        <c:v>6214.6370044278465</c:v>
                      </c:pt>
                      <c:pt idx="6">
                        <c:v>6093.8206007323734</c:v>
                      </c:pt>
                      <c:pt idx="7">
                        <c:v>5966.3109682721697</c:v>
                      </c:pt>
                      <c:pt idx="8">
                        <c:v>5831.7373021736694</c:v>
                      </c:pt>
                      <c:pt idx="9">
                        <c:v>5689.7082549733132</c:v>
                      </c:pt>
                      <c:pt idx="10">
                        <c:v>5539.8107985580573</c:v>
                      </c:pt>
                      <c:pt idx="11">
                        <c:v>5381.6090230573964</c:v>
                      </c:pt>
                      <c:pt idx="12">
                        <c:v>5214.6428691939991</c:v>
                      </c:pt>
                      <c:pt idx="13">
                        <c:v>5038.4267904065691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5EE-498D-B57F-5F88C9FE5CEF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7"/>
          <c:order val="7"/>
          <c:tx>
            <c:strRef>
              <c:f>finance!$H$27</c:f>
              <c:strCache>
                <c:ptCount val="1"/>
                <c:pt idx="0">
                  <c:v> yearend_cap_appreciation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Lit>
              <c:ptCount val="14"/>
              <c:pt idx="0">
                <c:v> $1 </c:v>
              </c:pt>
              <c:pt idx="1">
                <c:v> $2 </c:v>
              </c:pt>
              <c:pt idx="2">
                <c:v> $3 </c:v>
              </c:pt>
              <c:pt idx="3">
                <c:v> $4 </c:v>
              </c:pt>
              <c:pt idx="4">
                <c:v> $5 </c:v>
              </c:pt>
              <c:pt idx="5">
                <c:v> $6 </c:v>
              </c:pt>
              <c:pt idx="6">
                <c:v> $7 </c:v>
              </c:pt>
              <c:pt idx="7">
                <c:v> $8 </c:v>
              </c:pt>
              <c:pt idx="8">
                <c:v> $9 </c:v>
              </c:pt>
              <c:pt idx="9">
                <c:v> $10 </c:v>
              </c:pt>
              <c:pt idx="10">
                <c:v> $11 </c:v>
              </c:pt>
              <c:pt idx="11">
                <c:v> $12 </c:v>
              </c:pt>
              <c:pt idx="12">
                <c:v> $13 </c:v>
              </c:pt>
              <c:pt idx="13">
                <c:v> $14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finance!$H$28:$H$57</c15:sqref>
                  </c15:fullRef>
                </c:ext>
              </c:extLst>
              <c:f>finance!$H$28:$H$41</c:f>
              <c:numCache>
                <c:formatCode>_-"$"* #,##0_-;\-"$"* #,##0_-;_-"$"* "-"??_-;_-@_-</c:formatCode>
                <c:ptCount val="14"/>
                <c:pt idx="0">
                  <c:v>795000</c:v>
                </c:pt>
                <c:pt idx="1">
                  <c:v>842700</c:v>
                </c:pt>
                <c:pt idx="2">
                  <c:v>893262</c:v>
                </c:pt>
                <c:pt idx="3">
                  <c:v>946857.72000000009</c:v>
                </c:pt>
                <c:pt idx="4">
                  <c:v>1003669.1832000001</c:v>
                </c:pt>
                <c:pt idx="5">
                  <c:v>1063889.3341920001</c:v>
                </c:pt>
                <c:pt idx="6">
                  <c:v>1127722.6942435203</c:v>
                </c:pt>
                <c:pt idx="7">
                  <c:v>1195386.0558981316</c:v>
                </c:pt>
                <c:pt idx="8">
                  <c:v>1267109.2192520194</c:v>
                </c:pt>
                <c:pt idx="9">
                  <c:v>1343135.7724071406</c:v>
                </c:pt>
                <c:pt idx="10">
                  <c:v>1423723.918751569</c:v>
                </c:pt>
                <c:pt idx="11">
                  <c:v>1509147.3538766631</c:v>
                </c:pt>
                <c:pt idx="12">
                  <c:v>1599696.1951092631</c:v>
                </c:pt>
                <c:pt idx="13">
                  <c:v>1695677.966815819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56-4398-A86C-ECCE62D44F1C}"/>
            </c:ext>
          </c:extLst>
        </c:ser>
        <c:ser>
          <c:idx val="8"/>
          <c:order val="8"/>
          <c:tx>
            <c:strRef>
              <c:f>finance!$I$27</c:f>
              <c:strCache>
                <c:ptCount val="1"/>
                <c:pt idx="0">
                  <c:v> net_capital growth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Lit>
              <c:ptCount val="14"/>
              <c:pt idx="0">
                <c:v> $1 </c:v>
              </c:pt>
              <c:pt idx="1">
                <c:v> $2 </c:v>
              </c:pt>
              <c:pt idx="2">
                <c:v> $3 </c:v>
              </c:pt>
              <c:pt idx="3">
                <c:v> $4 </c:v>
              </c:pt>
              <c:pt idx="4">
                <c:v> $5 </c:v>
              </c:pt>
              <c:pt idx="5">
                <c:v> $6 </c:v>
              </c:pt>
              <c:pt idx="6">
                <c:v> $7 </c:v>
              </c:pt>
              <c:pt idx="7">
                <c:v> $8 </c:v>
              </c:pt>
              <c:pt idx="8">
                <c:v> $9 </c:v>
              </c:pt>
              <c:pt idx="9">
                <c:v> $10 </c:v>
              </c:pt>
              <c:pt idx="10">
                <c:v> $11 </c:v>
              </c:pt>
              <c:pt idx="11">
                <c:v> $12 </c:v>
              </c:pt>
              <c:pt idx="12">
                <c:v> $13 </c:v>
              </c:pt>
              <c:pt idx="13">
                <c:v> $14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finance!$I$28:$I$57</c15:sqref>
                  </c15:fullRef>
                </c:ext>
              </c:extLst>
              <c:f>finance!$I$28:$I$41</c:f>
              <c:numCache>
                <c:formatCode>_-"$"* #,##0_-;\-"$"* #,##0_-;_-"$"* "-"??_-;_-@_-</c:formatCode>
                <c:ptCount val="14"/>
                <c:pt idx="0">
                  <c:v>195927.23257588246</c:v>
                </c:pt>
                <c:pt idx="1">
                  <c:v>252415.79383646883</c:v>
                </c:pt>
                <c:pt idx="2">
                  <c:v>312253.24139089161</c:v>
                </c:pt>
                <c:pt idx="3">
                  <c:v>375638.26873982954</c:v>
                </c:pt>
                <c:pt idx="4">
                  <c:v>442781.36691589851</c:v>
                </c:pt>
                <c:pt idx="5">
                  <c:v>513905.52546164172</c:v>
                </c:pt>
                <c:pt idx="6">
                  <c:v>589246.97508538247</c:v>
                </c:pt>
                <c:pt idx="7">
                  <c:v>669055.97447451542</c:v>
                </c:pt>
                <c:pt idx="8">
                  <c:v>753597.64389341744</c:v>
                </c:pt>
                <c:pt idx="9">
                  <c:v>843152.84834955446</c:v>
                </c:pt>
                <c:pt idx="10">
                  <c:v>938019.1332770749</c:v>
                </c:pt>
                <c:pt idx="11">
                  <c:v>1038511.7158627645</c:v>
                </c:pt>
                <c:pt idx="12">
                  <c:v>1144964.5353252769</c:v>
                </c:pt>
                <c:pt idx="13">
                  <c:v>1257731.3656556825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856-4398-A86C-ECCE62D4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39982424"/>
        <c:axId val="7399827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finance!$A$27</c15:sqref>
                        </c15:formulaRef>
                      </c:ext>
                    </c:extLst>
                    <c:strCache>
                      <c:ptCount val="1"/>
                      <c:pt idx="0">
                        <c:v>Payment Number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ullRef>
                          <c15:sqref>finance!$A$28:$A$57</c15:sqref>
                        </c15:fullRef>
                        <c15:formulaRef>
                          <c15:sqref>finance!$A$28:$A$41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1856-4398-A86C-ECCE62D44F1C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finance!$B$27</c15:sqref>
                        </c15:formulaRef>
                      </c:ext>
                    </c:extLst>
                    <c:strCache>
                      <c:ptCount val="1"/>
                      <c:pt idx="0">
                        <c:v>Payment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finance!$B$28:$B$57</c15:sqref>
                        </c15:fullRef>
                        <c15:formulaRef>
                          <c15:sqref>finance!$B$28:$B$41</c15:sqref>
                        </c15:formulaRef>
                      </c:ext>
                    </c:extLst>
                    <c:numCache>
                      <c:formatCode>#,##0</c:formatCode>
                      <c:ptCount val="14"/>
                      <c:pt idx="0">
                        <c:v>-41977.192575882436</c:v>
                      </c:pt>
                      <c:pt idx="1">
                        <c:v>-41977.192575882436</c:v>
                      </c:pt>
                      <c:pt idx="2">
                        <c:v>-41977.192575882436</c:v>
                      </c:pt>
                      <c:pt idx="3">
                        <c:v>-41977.192575882436</c:v>
                      </c:pt>
                      <c:pt idx="4">
                        <c:v>-41977.192575882436</c:v>
                      </c:pt>
                      <c:pt idx="5">
                        <c:v>-41977.192575882436</c:v>
                      </c:pt>
                      <c:pt idx="6">
                        <c:v>-41977.192575882436</c:v>
                      </c:pt>
                      <c:pt idx="7">
                        <c:v>-41977.192575882436</c:v>
                      </c:pt>
                      <c:pt idx="8">
                        <c:v>-41977.192575882436</c:v>
                      </c:pt>
                      <c:pt idx="9">
                        <c:v>-41977.192575882436</c:v>
                      </c:pt>
                      <c:pt idx="10">
                        <c:v>-41977.192575882436</c:v>
                      </c:pt>
                      <c:pt idx="11">
                        <c:v>-41977.192575882436</c:v>
                      </c:pt>
                      <c:pt idx="12">
                        <c:v>-41977.192575882436</c:v>
                      </c:pt>
                      <c:pt idx="13">
                        <c:v>-41977.192575882436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856-4398-A86C-ECCE62D44F1C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finance!$C$27</c15:sqref>
                        </c15:formulaRef>
                      </c:ext>
                    </c:extLst>
                    <c:strCache>
                      <c:ptCount val="1"/>
                      <c:pt idx="0">
                        <c:v>Principal 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finance!$C$28:$C$57</c15:sqref>
                        </c15:fullRef>
                        <c15:formulaRef>
                          <c15:sqref>finance!$C$28:$C$41</c15:sqref>
                        </c15:formulaRef>
                      </c:ext>
                    </c:extLst>
                    <c:numCache>
                      <c:formatCode>#,##0</c:formatCode>
                      <c:ptCount val="14"/>
                      <c:pt idx="0">
                        <c:v>-8327.2325758824318</c:v>
                      </c:pt>
                      <c:pt idx="1">
                        <c:v>-8788.5612605863171</c:v>
                      </c:pt>
                      <c:pt idx="2">
                        <c:v>-9275.4475544228007</c:v>
                      </c:pt>
                      <c:pt idx="3">
                        <c:v>-9789.3073489378239</c:v>
                      </c:pt>
                      <c:pt idx="4">
                        <c:v>-10331.634976068977</c:v>
                      </c:pt>
                      <c:pt idx="5">
                        <c:v>-10904.007553743199</c:v>
                      </c:pt>
                      <c:pt idx="6">
                        <c:v>-11508.089572220571</c:v>
                      </c:pt>
                      <c:pt idx="7">
                        <c:v>-12145.637734521591</c:v>
                      </c:pt>
                      <c:pt idx="8">
                        <c:v>-12818.506065014088</c:v>
                      </c:pt>
                      <c:pt idx="9">
                        <c:v>-13528.651301015869</c:v>
                      </c:pt>
                      <c:pt idx="10">
                        <c:v>-14278.138583092148</c:v>
                      </c:pt>
                      <c:pt idx="11">
                        <c:v>-15069.147460595455</c:v>
                      </c:pt>
                      <c:pt idx="12">
                        <c:v>-15903.978229912438</c:v>
                      </c:pt>
                      <c:pt idx="13">
                        <c:v>-16785.058623849593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856-4398-A86C-ECCE62D44F1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finance!$D$27</c15:sqref>
                        </c15:formulaRef>
                      </c:ext>
                    </c:extLst>
                    <c:strCache>
                      <c:ptCount val="1"/>
                      <c:pt idx="0">
                        <c:v>Interest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finance!$D$28:$D$57</c15:sqref>
                        </c15:fullRef>
                        <c15:formulaRef>
                          <c15:sqref>finance!$D$28:$D$41</c15:sqref>
                        </c15:formulaRef>
                      </c:ext>
                    </c:extLst>
                    <c:numCache>
                      <c:formatCode>#,##0</c:formatCode>
                      <c:ptCount val="14"/>
                      <c:pt idx="0">
                        <c:v>-33649.96</c:v>
                      </c:pt>
                      <c:pt idx="1">
                        <c:v>-33188.631315296108</c:v>
                      </c:pt>
                      <c:pt idx="2">
                        <c:v>-32701.745021459632</c:v>
                      </c:pt>
                      <c:pt idx="3">
                        <c:v>-32187.885226944611</c:v>
                      </c:pt>
                      <c:pt idx="4">
                        <c:v>-31645.557599813459</c:v>
                      </c:pt>
                      <c:pt idx="5">
                        <c:v>-31073.185022139231</c:v>
                      </c:pt>
                      <c:pt idx="6">
                        <c:v>-30469.103003661865</c:v>
                      </c:pt>
                      <c:pt idx="7">
                        <c:v>-29831.554841360845</c:v>
                      </c:pt>
                      <c:pt idx="8">
                        <c:v>-29158.686510868345</c:v>
                      </c:pt>
                      <c:pt idx="9">
                        <c:v>-28448.541274866566</c:v>
                      </c:pt>
                      <c:pt idx="10">
                        <c:v>-27699.053992790283</c:v>
                      </c:pt>
                      <c:pt idx="11">
                        <c:v>-26908.045115286979</c:v>
                      </c:pt>
                      <c:pt idx="12">
                        <c:v>-26073.214345969995</c:v>
                      </c:pt>
                      <c:pt idx="13">
                        <c:v>-25192.133952032844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856-4398-A86C-ECCE62D44F1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finance!$E$27</c15:sqref>
                        </c15:formulaRef>
                      </c:ext>
                    </c:extLst>
                    <c:strCache>
                      <c:ptCount val="1"/>
                      <c:pt idx="0">
                        <c:v>Balance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finance!$E$28:$E$57</c15:sqref>
                        </c15:fullRef>
                        <c15:formulaRef>
                          <c15:sqref>finance!$E$28:$E$41</c15:sqref>
                        </c15:formulaRef>
                      </c:ext>
                    </c:extLst>
                    <c:numCache>
                      <c:formatCode>#,##0</c:formatCode>
                      <c:ptCount val="14"/>
                      <c:pt idx="0">
                        <c:v>599072.76742411754</c:v>
                      </c:pt>
                      <c:pt idx="1">
                        <c:v>590284.20616353117</c:v>
                      </c:pt>
                      <c:pt idx="2">
                        <c:v>581008.75860910839</c:v>
                      </c:pt>
                      <c:pt idx="3">
                        <c:v>571219.45126017055</c:v>
                      </c:pt>
                      <c:pt idx="4">
                        <c:v>560887.81628410157</c:v>
                      </c:pt>
                      <c:pt idx="5">
                        <c:v>549983.80873035837</c:v>
                      </c:pt>
                      <c:pt idx="6">
                        <c:v>538475.7191581378</c:v>
                      </c:pt>
                      <c:pt idx="7">
                        <c:v>526330.08142361615</c:v>
                      </c:pt>
                      <c:pt idx="8">
                        <c:v>513511.57535860204</c:v>
                      </c:pt>
                      <c:pt idx="9">
                        <c:v>499982.92405758618</c:v>
                      </c:pt>
                      <c:pt idx="10">
                        <c:v>485704.78547449404</c:v>
                      </c:pt>
                      <c:pt idx="11">
                        <c:v>470635.63801389857</c:v>
                      </c:pt>
                      <c:pt idx="12">
                        <c:v>454731.65978398611</c:v>
                      </c:pt>
                      <c:pt idx="13">
                        <c:v>437946.60116013652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856-4398-A86C-ECCE62D44F1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finance!$F$27</c15:sqref>
                        </c15:formulaRef>
                      </c:ext>
                    </c:extLst>
                    <c:strCache>
                      <c:ptCount val="1"/>
                      <c:pt idx="0">
                        <c:v>yield_yearly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finance!$F$28:$F$57</c15:sqref>
                        </c15:fullRef>
                        <c15:formulaRef>
                          <c15:sqref>finance!$F$28:$F$41</c15:sqref>
                        </c15:formulaRef>
                      </c:ext>
                    </c:extLst>
                    <c:numCache>
                      <c:formatCode>#,##0</c:formatCode>
                      <c:ptCount val="14"/>
                      <c:pt idx="0">
                        <c:v>25740</c:v>
                      </c:pt>
                      <c:pt idx="1">
                        <c:v>27284.400000000001</c:v>
                      </c:pt>
                      <c:pt idx="2">
                        <c:v>28921.464000000007</c:v>
                      </c:pt>
                      <c:pt idx="3">
                        <c:v>30656.751840000012</c:v>
                      </c:pt>
                      <c:pt idx="4">
                        <c:v>32496.156950400011</c:v>
                      </c:pt>
                      <c:pt idx="5">
                        <c:v>34445.926367424014</c:v>
                      </c:pt>
                      <c:pt idx="6">
                        <c:v>36512.68194946945</c:v>
                      </c:pt>
                      <c:pt idx="7">
                        <c:v>38703.442866437625</c:v>
                      </c:pt>
                      <c:pt idx="8">
                        <c:v>41025.649438423883</c:v>
                      </c:pt>
                      <c:pt idx="9">
                        <c:v>43487.188404729313</c:v>
                      </c:pt>
                      <c:pt idx="10">
                        <c:v>46096.419709013076</c:v>
                      </c:pt>
                      <c:pt idx="11">
                        <c:v>48862.204891553862</c:v>
                      </c:pt>
                      <c:pt idx="12">
                        <c:v>51793.937185047092</c:v>
                      </c:pt>
                      <c:pt idx="13">
                        <c:v>54901.57341614992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856-4398-A86C-ECCE62D44F1C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9"/>
          <c:order val="9"/>
          <c:tx>
            <c:strRef>
              <c:f>finance!$L$27</c:f>
              <c:strCache>
                <c:ptCount val="1"/>
                <c:pt idx="0">
                  <c:v>cashflow_0</c:v>
                </c:pt>
              </c:strCache>
            </c:strRef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 1 </c:v>
              </c:pt>
              <c:pt idx="1">
                <c:v> 2 </c:v>
              </c:pt>
              <c:pt idx="2">
                <c:v> 3 </c:v>
              </c:pt>
              <c:pt idx="3">
                <c:v> 4 </c:v>
              </c:pt>
              <c:pt idx="4">
                <c:v> 5 </c:v>
              </c:pt>
              <c:pt idx="5">
                <c:v> 6 </c:v>
              </c:pt>
              <c:pt idx="6">
                <c:v> 7 </c:v>
              </c:pt>
              <c:pt idx="7">
                <c:v> 8 </c:v>
              </c:pt>
              <c:pt idx="8">
                <c:v> 9 </c:v>
              </c:pt>
              <c:pt idx="9">
                <c:v> 10 </c:v>
              </c:pt>
              <c:pt idx="10">
                <c:v> 11 </c:v>
              </c:pt>
              <c:pt idx="11">
                <c:v> 12 </c:v>
              </c:pt>
              <c:pt idx="12">
                <c:v> 13 </c:v>
              </c:pt>
              <c:pt idx="13">
                <c:v> 14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finance!$L$28:$L$57</c15:sqref>
                  </c15:fullRef>
                </c:ext>
              </c:extLst>
              <c:f>finance!$L$28:$L$41</c:f>
              <c:numCache>
                <c:formatCode>_-* #,##0_-;\-* #,##0_-;_-* "-"??_-;_-@_-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856-4398-A86C-ECCE62D4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9075144"/>
        <c:axId val="509074424"/>
      </c:lineChart>
      <c:catAx>
        <c:axId val="73998242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9982784"/>
        <c:crosses val="autoZero"/>
        <c:auto val="1"/>
        <c:lblAlgn val="ctr"/>
        <c:lblOffset val="100"/>
        <c:noMultiLvlLbl val="0"/>
      </c:catAx>
      <c:valAx>
        <c:axId val="73998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&quot;$&quot;* #,##0_-;\-&quot;$&quot;* #,##0_-;_-&quot;$&quot;* &quot;-&quot;??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9982424"/>
        <c:crosses val="autoZero"/>
        <c:crossBetween val="between"/>
      </c:valAx>
      <c:valAx>
        <c:axId val="509074424"/>
        <c:scaling>
          <c:orientation val="minMax"/>
        </c:scaling>
        <c:delete val="0"/>
        <c:axPos val="r"/>
        <c:numFmt formatCode="_-&quot;$&quot;* #,##0_-;\-&quot;$&quot;* #,##0_-;_-&quot;$&quot;* &quot;-&quot;??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9075144"/>
        <c:crosses val="max"/>
        <c:crossBetween val="between"/>
      </c:valAx>
      <c:catAx>
        <c:axId val="509075144"/>
        <c:scaling>
          <c:orientation val="minMax"/>
        </c:scaling>
        <c:delete val="1"/>
        <c:axPos val="b"/>
        <c:majorTickMark val="out"/>
        <c:minorTickMark val="none"/>
        <c:tickLblPos val="nextTo"/>
        <c:crossAx val="5090744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ayout>
        <c:manualLayout>
          <c:xMode val="edge"/>
          <c:yMode val="edge"/>
          <c:x val="0.1608806401931217"/>
          <c:y val="8.0188066395467564E-2"/>
          <c:w val="0.27944186937285614"/>
          <c:h val="0.246725509624979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24765</xdr:colOff>
      <xdr:row>0</xdr:row>
      <xdr:rowOff>15240</xdr:rowOff>
    </xdr:from>
    <xdr:to>
      <xdr:col>15</xdr:col>
      <xdr:colOff>501649</xdr:colOff>
      <xdr:row>24</xdr:row>
      <xdr:rowOff>10161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8FF866-93B7-ACF4-0B54-4B07D85FF1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2527A-3BE5-4BA5-A375-284826528062}">
  <dimension ref="A1:Q62"/>
  <sheetViews>
    <sheetView tabSelected="1" zoomScale="75" zoomScaleNormal="75" workbookViewId="0">
      <selection activeCell="Q36" sqref="Q36"/>
    </sheetView>
  </sheetViews>
  <sheetFormatPr defaultRowHeight="14.4" x14ac:dyDescent="0.3"/>
  <cols>
    <col min="1" max="1" width="15.109375" customWidth="1"/>
    <col min="2" max="3" width="11.77734375" bestFit="1" customWidth="1"/>
    <col min="4" max="4" width="19.44140625" bestFit="1" customWidth="1"/>
    <col min="5" max="5" width="12.88671875" bestFit="1" customWidth="1"/>
    <col min="6" max="6" width="12.88671875" customWidth="1"/>
    <col min="7" max="7" width="12.33203125" style="8" bestFit="1" customWidth="1"/>
    <col min="8" max="8" width="17.33203125" style="8" customWidth="1"/>
    <col min="9" max="9" width="14.44140625" style="8" customWidth="1"/>
    <col min="10" max="10" width="11.6640625" customWidth="1"/>
    <col min="11" max="11" width="10.5546875" customWidth="1"/>
    <col min="12" max="12" width="9.5546875" customWidth="1"/>
    <col min="13" max="13" width="9.5546875" bestFit="1" customWidth="1"/>
    <col min="14" max="14" width="12.33203125" style="8" bestFit="1" customWidth="1"/>
    <col min="15" max="16" width="9.5546875" bestFit="1" customWidth="1"/>
    <col min="17" max="17" width="11.21875" bestFit="1" customWidth="1"/>
  </cols>
  <sheetData>
    <row r="1" spans="1:6" x14ac:dyDescent="0.3">
      <c r="A1" t="s">
        <v>2</v>
      </c>
      <c r="B1" s="5">
        <v>5.5399999999999998E-2</v>
      </c>
      <c r="D1" t="s">
        <v>0</v>
      </c>
      <c r="E1" s="4">
        <v>0.06</v>
      </c>
      <c r="F1" s="4"/>
    </row>
    <row r="2" spans="1:6" x14ac:dyDescent="0.3">
      <c r="A2" t="s">
        <v>10</v>
      </c>
      <c r="B2">
        <v>1</v>
      </c>
      <c r="D2" t="s">
        <v>12</v>
      </c>
      <c r="E2" s="7">
        <v>660</v>
      </c>
      <c r="F2" s="7"/>
    </row>
    <row r="3" spans="1:6" x14ac:dyDescent="0.3">
      <c r="A3" t="s">
        <v>3</v>
      </c>
      <c r="B3">
        <v>30</v>
      </c>
      <c r="D3" s="6" t="s">
        <v>14</v>
      </c>
      <c r="E3" s="4">
        <v>0.75</v>
      </c>
      <c r="F3" s="4"/>
    </row>
    <row r="4" spans="1:6" x14ac:dyDescent="0.3">
      <c r="A4" t="s">
        <v>4</v>
      </c>
      <c r="B4" s="2">
        <v>607400</v>
      </c>
      <c r="D4" t="s">
        <v>16</v>
      </c>
      <c r="E4" s="4">
        <v>0.06</v>
      </c>
    </row>
    <row r="5" spans="1:6" x14ac:dyDescent="0.3">
      <c r="A5" t="s">
        <v>19</v>
      </c>
      <c r="B5" s="2">
        <v>750000</v>
      </c>
    </row>
    <row r="6" spans="1:6" x14ac:dyDescent="0.3">
      <c r="B6" s="2"/>
    </row>
    <row r="7" spans="1:6" x14ac:dyDescent="0.3">
      <c r="B7" s="2"/>
    </row>
    <row r="8" spans="1:6" x14ac:dyDescent="0.3">
      <c r="B8" s="2"/>
    </row>
    <row r="9" spans="1:6" x14ac:dyDescent="0.3">
      <c r="B9" s="2"/>
    </row>
    <row r="10" spans="1:6" x14ac:dyDescent="0.3">
      <c r="B10" s="2"/>
    </row>
    <row r="11" spans="1:6" x14ac:dyDescent="0.3">
      <c r="B11" s="2"/>
    </row>
    <row r="12" spans="1:6" x14ac:dyDescent="0.3">
      <c r="B12" s="2"/>
    </row>
    <row r="13" spans="1:6" x14ac:dyDescent="0.3">
      <c r="B13" s="2"/>
    </row>
    <row r="14" spans="1:6" x14ac:dyDescent="0.3">
      <c r="B14" s="2"/>
    </row>
    <row r="15" spans="1:6" x14ac:dyDescent="0.3">
      <c r="B15" s="2"/>
    </row>
    <row r="16" spans="1:6" x14ac:dyDescent="0.3">
      <c r="B16" s="2"/>
    </row>
    <row r="17" spans="1:17" x14ac:dyDescent="0.3">
      <c r="B17" s="2"/>
    </row>
    <row r="18" spans="1:17" x14ac:dyDescent="0.3">
      <c r="B18" s="2"/>
    </row>
    <row r="19" spans="1:17" x14ac:dyDescent="0.3">
      <c r="B19" s="2"/>
    </row>
    <row r="20" spans="1:17" x14ac:dyDescent="0.3">
      <c r="B20" s="2"/>
    </row>
    <row r="21" spans="1:17" x14ac:dyDescent="0.3">
      <c r="B21" s="2"/>
    </row>
    <row r="22" spans="1:17" x14ac:dyDescent="0.3">
      <c r="B22" s="2"/>
    </row>
    <row r="23" spans="1:17" x14ac:dyDescent="0.3">
      <c r="B23" s="2"/>
    </row>
    <row r="24" spans="1:17" x14ac:dyDescent="0.3">
      <c r="B24" s="2"/>
    </row>
    <row r="25" spans="1:17" x14ac:dyDescent="0.3">
      <c r="B25" s="2"/>
    </row>
    <row r="26" spans="1:17" x14ac:dyDescent="0.3">
      <c r="B26" s="2"/>
    </row>
    <row r="27" spans="1:17" s="10" customFormat="1" x14ac:dyDescent="0.3">
      <c r="A27" s="10" t="s">
        <v>5</v>
      </c>
      <c r="B27" s="11" t="s">
        <v>6</v>
      </c>
      <c r="C27" s="11" t="s">
        <v>7</v>
      </c>
      <c r="D27" s="11" t="s">
        <v>8</v>
      </c>
      <c r="E27" s="11" t="s">
        <v>9</v>
      </c>
      <c r="F27" s="11" t="s">
        <v>15</v>
      </c>
      <c r="G27" s="12" t="s">
        <v>22</v>
      </c>
      <c r="H27" s="12" t="s">
        <v>1</v>
      </c>
      <c r="I27" s="12" t="s">
        <v>17</v>
      </c>
      <c r="J27" s="11" t="s">
        <v>11</v>
      </c>
      <c r="K27" s="11" t="s">
        <v>13</v>
      </c>
      <c r="L27" s="10" t="s">
        <v>18</v>
      </c>
      <c r="M27" s="10" t="s">
        <v>20</v>
      </c>
      <c r="N27" s="12" t="s">
        <v>21</v>
      </c>
      <c r="O27" s="10" t="s">
        <v>23</v>
      </c>
    </row>
    <row r="28" spans="1:17" x14ac:dyDescent="0.3">
      <c r="A28">
        <v>1</v>
      </c>
      <c r="B28" s="3">
        <f t="shared" ref="B28:B57" si="0">PMT(Annual_Rate/Payments___Year,Years*Payments___Year,Amount)</f>
        <v>-41977.192575882436</v>
      </c>
      <c r="C28" s="3">
        <f t="shared" ref="C28:C57" si="1">PPMT(Annual_Rate/Payments___Year,A28,Years*Payments___Year,Amount)</f>
        <v>-8327.2325758824318</v>
      </c>
      <c r="D28" s="3">
        <f t="shared" ref="D28:D57" si="2">IPMT(Annual_Rate/Payments___Year,A28,Years*Payments___Year,Amount)</f>
        <v>-33649.96</v>
      </c>
      <c r="E28" s="3">
        <f>Amount+C28</f>
        <v>599072.76742411754</v>
      </c>
      <c r="F28" s="3">
        <f>52*K28</f>
        <v>25740</v>
      </c>
      <c r="G28" s="8">
        <f>B28+F28+M28</f>
        <v>-9507.2005758824362</v>
      </c>
      <c r="H28" s="8">
        <f>Initial_Value*(1+cap_appreciation_rate)</f>
        <v>795000</v>
      </c>
      <c r="I28" s="8">
        <f>H28-E28</f>
        <v>195927.23257588246</v>
      </c>
      <c r="J28" s="1">
        <f t="shared" ref="J28:J57" si="3">B28/52</f>
        <v>-807.2537033823545</v>
      </c>
      <c r="K28">
        <f>rental_income*rental_yield</f>
        <v>495</v>
      </c>
      <c r="L28" s="2">
        <v>0</v>
      </c>
      <c r="M28" s="2">
        <f>-D28*0.2</f>
        <v>6729.9920000000002</v>
      </c>
      <c r="N28" s="8">
        <f>B28+F28</f>
        <v>-16237.192575882436</v>
      </c>
      <c r="O28" s="2"/>
      <c r="P28" s="2"/>
      <c r="Q28" s="2"/>
    </row>
    <row r="29" spans="1:17" x14ac:dyDescent="0.3">
      <c r="A29">
        <v>2</v>
      </c>
      <c r="B29" s="3">
        <f t="shared" si="0"/>
        <v>-41977.192575882436</v>
      </c>
      <c r="C29" s="3">
        <f t="shared" si="1"/>
        <v>-8788.5612605863171</v>
      </c>
      <c r="D29" s="3">
        <f t="shared" si="2"/>
        <v>-33188.631315296108</v>
      </c>
      <c r="E29" s="3">
        <f>E28+C29</f>
        <v>590284.20616353117</v>
      </c>
      <c r="F29" s="3">
        <f t="shared" ref="F29:F57" si="4">52*K29</f>
        <v>27284.400000000001</v>
      </c>
      <c r="G29" s="8">
        <f t="shared" ref="G29:G57" si="5">B29+F29+M29</f>
        <v>-8055.0663128232127</v>
      </c>
      <c r="H29" s="8">
        <f t="shared" ref="H29:H57" si="6">H28*(1+cap_appreciation_rate)</f>
        <v>842700</v>
      </c>
      <c r="I29" s="8">
        <f t="shared" ref="I29:I57" si="7">H29-E29</f>
        <v>252415.79383646883</v>
      </c>
      <c r="J29" s="1">
        <f t="shared" si="3"/>
        <v>-807.2537033823545</v>
      </c>
      <c r="K29" s="9">
        <f t="shared" ref="K29:K57" si="8">K28*(1+rental_growth)</f>
        <v>524.70000000000005</v>
      </c>
      <c r="L29" s="2">
        <v>0</v>
      </c>
      <c r="M29" s="2">
        <f t="shared" ref="M29:M57" si="9">-D29*0.2</f>
        <v>6637.7262630592222</v>
      </c>
      <c r="N29" s="8">
        <f t="shared" ref="N29:N57" si="10">B29+F29</f>
        <v>-14692.792575882435</v>
      </c>
      <c r="O29" s="2"/>
      <c r="P29" s="2"/>
      <c r="Q29" s="2"/>
    </row>
    <row r="30" spans="1:17" x14ac:dyDescent="0.3">
      <c r="A30">
        <v>3</v>
      </c>
      <c r="B30" s="3">
        <f t="shared" si="0"/>
        <v>-41977.192575882436</v>
      </c>
      <c r="C30" s="3">
        <f t="shared" si="1"/>
        <v>-9275.4475544228007</v>
      </c>
      <c r="D30" s="3">
        <f t="shared" si="2"/>
        <v>-32701.745021459632</v>
      </c>
      <c r="E30" s="3">
        <f t="shared" ref="E30:E57" si="11">E29+C30</f>
        <v>581008.75860910839</v>
      </c>
      <c r="F30" s="3">
        <f t="shared" si="4"/>
        <v>28921.464000000007</v>
      </c>
      <c r="G30" s="8">
        <f t="shared" si="5"/>
        <v>-6515.3795715905026</v>
      </c>
      <c r="H30" s="8">
        <f t="shared" si="6"/>
        <v>893262</v>
      </c>
      <c r="I30" s="8">
        <f t="shared" si="7"/>
        <v>312253.24139089161</v>
      </c>
      <c r="J30" s="1">
        <f t="shared" si="3"/>
        <v>-807.2537033823545</v>
      </c>
      <c r="K30" s="9">
        <f t="shared" si="8"/>
        <v>556.18200000000013</v>
      </c>
      <c r="L30" s="2">
        <v>0</v>
      </c>
      <c r="M30" s="2">
        <f t="shared" si="9"/>
        <v>6540.3490042919266</v>
      </c>
      <c r="N30" s="8">
        <f t="shared" si="10"/>
        <v>-13055.728575882429</v>
      </c>
      <c r="O30" s="2"/>
      <c r="P30" s="2"/>
      <c r="Q30" s="2"/>
    </row>
    <row r="31" spans="1:17" x14ac:dyDescent="0.3">
      <c r="A31">
        <v>4</v>
      </c>
      <c r="B31" s="3">
        <f t="shared" si="0"/>
        <v>-41977.192575882436</v>
      </c>
      <c r="C31" s="3">
        <f t="shared" si="1"/>
        <v>-9789.3073489378239</v>
      </c>
      <c r="D31" s="3">
        <f t="shared" si="2"/>
        <v>-32187.885226944611</v>
      </c>
      <c r="E31" s="3">
        <f t="shared" si="11"/>
        <v>571219.45126017055</v>
      </c>
      <c r="F31" s="3">
        <f t="shared" si="4"/>
        <v>30656.751840000012</v>
      </c>
      <c r="G31" s="8">
        <f t="shared" si="5"/>
        <v>-4882.863690493502</v>
      </c>
      <c r="H31" s="8">
        <f t="shared" si="6"/>
        <v>946857.72000000009</v>
      </c>
      <c r="I31" s="8">
        <f t="shared" si="7"/>
        <v>375638.26873982954</v>
      </c>
      <c r="J31" s="1">
        <f t="shared" si="3"/>
        <v>-807.2537033823545</v>
      </c>
      <c r="K31" s="9">
        <f t="shared" si="8"/>
        <v>589.5529200000002</v>
      </c>
      <c r="L31" s="2">
        <v>0</v>
      </c>
      <c r="M31" s="2">
        <f t="shared" si="9"/>
        <v>6437.5770453889227</v>
      </c>
      <c r="N31" s="8">
        <f t="shared" si="10"/>
        <v>-11320.440735882425</v>
      </c>
      <c r="O31" s="2"/>
      <c r="P31" s="2"/>
      <c r="Q31" s="2"/>
    </row>
    <row r="32" spans="1:17" x14ac:dyDescent="0.3">
      <c r="A32">
        <v>5</v>
      </c>
      <c r="B32" s="3">
        <f t="shared" si="0"/>
        <v>-41977.192575882436</v>
      </c>
      <c r="C32" s="3">
        <f t="shared" si="1"/>
        <v>-10331.634976068977</v>
      </c>
      <c r="D32" s="3">
        <f t="shared" si="2"/>
        <v>-31645.557599813459</v>
      </c>
      <c r="E32" s="3">
        <f t="shared" si="11"/>
        <v>560887.81628410157</v>
      </c>
      <c r="F32" s="3">
        <f t="shared" si="4"/>
        <v>32496.156950400011</v>
      </c>
      <c r="G32" s="8">
        <f t="shared" si="5"/>
        <v>-3151.9241055197335</v>
      </c>
      <c r="H32" s="8">
        <f t="shared" si="6"/>
        <v>1003669.1832000001</v>
      </c>
      <c r="I32" s="8">
        <f t="shared" si="7"/>
        <v>442781.36691589851</v>
      </c>
      <c r="J32" s="1">
        <f t="shared" si="3"/>
        <v>-807.2537033823545</v>
      </c>
      <c r="K32" s="9">
        <f t="shared" si="8"/>
        <v>624.92609520000019</v>
      </c>
      <c r="L32" s="2">
        <v>0</v>
      </c>
      <c r="M32" s="2">
        <f t="shared" si="9"/>
        <v>6329.111519962692</v>
      </c>
      <c r="N32" s="8">
        <f t="shared" si="10"/>
        <v>-9481.0356254824255</v>
      </c>
      <c r="O32" s="2"/>
      <c r="P32" s="2"/>
      <c r="Q32" s="2"/>
    </row>
    <row r="33" spans="1:17" x14ac:dyDescent="0.3">
      <c r="A33">
        <v>6</v>
      </c>
      <c r="B33" s="3">
        <f t="shared" si="0"/>
        <v>-41977.192575882436</v>
      </c>
      <c r="C33" s="3">
        <f t="shared" si="1"/>
        <v>-10904.007553743199</v>
      </c>
      <c r="D33" s="3">
        <f t="shared" si="2"/>
        <v>-31073.185022139231</v>
      </c>
      <c r="E33" s="3">
        <f t="shared" si="11"/>
        <v>549983.80873035837</v>
      </c>
      <c r="F33" s="3">
        <f t="shared" si="4"/>
        <v>34445.926367424014</v>
      </c>
      <c r="G33" s="8">
        <f t="shared" si="5"/>
        <v>-1316.6292040305761</v>
      </c>
      <c r="H33" s="8">
        <f t="shared" si="6"/>
        <v>1063889.3341920001</v>
      </c>
      <c r="I33" s="8">
        <f t="shared" si="7"/>
        <v>513905.52546164172</v>
      </c>
      <c r="J33" s="1">
        <f t="shared" si="3"/>
        <v>-807.2537033823545</v>
      </c>
      <c r="K33" s="9">
        <f t="shared" si="8"/>
        <v>662.42166091200022</v>
      </c>
      <c r="L33" s="2">
        <v>0</v>
      </c>
      <c r="M33" s="2">
        <f t="shared" si="9"/>
        <v>6214.6370044278465</v>
      </c>
      <c r="N33" s="8">
        <f t="shared" si="10"/>
        <v>-7531.2662084584226</v>
      </c>
      <c r="O33" s="2"/>
      <c r="P33" s="2"/>
      <c r="Q33" s="2"/>
    </row>
    <row r="34" spans="1:17" x14ac:dyDescent="0.3">
      <c r="A34">
        <v>7</v>
      </c>
      <c r="B34" s="3">
        <f t="shared" si="0"/>
        <v>-41977.192575882436</v>
      </c>
      <c r="C34" s="3">
        <f t="shared" si="1"/>
        <v>-11508.089572220571</v>
      </c>
      <c r="D34" s="3">
        <f t="shared" si="2"/>
        <v>-30469.103003661865</v>
      </c>
      <c r="E34" s="3">
        <f t="shared" si="11"/>
        <v>538475.7191581378</v>
      </c>
      <c r="F34" s="3">
        <f t="shared" si="4"/>
        <v>36512.68194946945</v>
      </c>
      <c r="G34" s="8">
        <f t="shared" si="5"/>
        <v>629.30997431938704</v>
      </c>
      <c r="H34" s="8">
        <f t="shared" si="6"/>
        <v>1127722.6942435203</v>
      </c>
      <c r="I34" s="8">
        <f t="shared" si="7"/>
        <v>589246.97508538247</v>
      </c>
      <c r="J34" s="1">
        <f t="shared" si="3"/>
        <v>-807.2537033823545</v>
      </c>
      <c r="K34" s="9">
        <f t="shared" si="8"/>
        <v>702.16696056672026</v>
      </c>
      <c r="L34" s="2">
        <v>0</v>
      </c>
      <c r="M34" s="2">
        <f t="shared" si="9"/>
        <v>6093.8206007323734</v>
      </c>
      <c r="N34" s="8">
        <f t="shared" si="10"/>
        <v>-5464.5106264129863</v>
      </c>
      <c r="O34" s="2"/>
      <c r="P34" s="2"/>
      <c r="Q34" s="2"/>
    </row>
    <row r="35" spans="1:17" x14ac:dyDescent="0.3">
      <c r="A35">
        <v>8</v>
      </c>
      <c r="B35" s="3">
        <f t="shared" si="0"/>
        <v>-41977.192575882436</v>
      </c>
      <c r="C35" s="3">
        <f t="shared" si="1"/>
        <v>-12145.637734521591</v>
      </c>
      <c r="D35" s="3">
        <f t="shared" si="2"/>
        <v>-29831.554841360845</v>
      </c>
      <c r="E35" s="3">
        <f t="shared" si="11"/>
        <v>526330.08142361615</v>
      </c>
      <c r="F35" s="3">
        <f t="shared" si="4"/>
        <v>38703.442866437625</v>
      </c>
      <c r="G35" s="8">
        <f t="shared" si="5"/>
        <v>2692.561258827358</v>
      </c>
      <c r="H35" s="8">
        <f t="shared" si="6"/>
        <v>1195386.0558981316</v>
      </c>
      <c r="I35" s="8">
        <f t="shared" si="7"/>
        <v>669055.97447451542</v>
      </c>
      <c r="J35" s="1">
        <f t="shared" si="3"/>
        <v>-807.2537033823545</v>
      </c>
      <c r="K35" s="9">
        <f t="shared" si="8"/>
        <v>744.29697820072352</v>
      </c>
      <c r="L35" s="2">
        <v>0</v>
      </c>
      <c r="M35" s="2">
        <f t="shared" si="9"/>
        <v>5966.3109682721697</v>
      </c>
      <c r="N35" s="8">
        <f t="shared" si="10"/>
        <v>-3273.7497094448117</v>
      </c>
      <c r="O35" s="2"/>
      <c r="P35" s="2"/>
      <c r="Q35" s="2"/>
    </row>
    <row r="36" spans="1:17" x14ac:dyDescent="0.3">
      <c r="A36">
        <v>9</v>
      </c>
      <c r="B36" s="3">
        <f t="shared" si="0"/>
        <v>-41977.192575882436</v>
      </c>
      <c r="C36" s="3">
        <f t="shared" si="1"/>
        <v>-12818.506065014088</v>
      </c>
      <c r="D36" s="3">
        <f t="shared" si="2"/>
        <v>-29158.686510868345</v>
      </c>
      <c r="E36" s="3">
        <f t="shared" si="11"/>
        <v>513511.57535860204</v>
      </c>
      <c r="F36" s="3">
        <f t="shared" si="4"/>
        <v>41025.649438423883</v>
      </c>
      <c r="G36" s="8">
        <f t="shared" si="5"/>
        <v>4880.1941647151161</v>
      </c>
      <c r="H36" s="8">
        <f t="shared" si="6"/>
        <v>1267109.2192520194</v>
      </c>
      <c r="I36" s="8">
        <f t="shared" si="7"/>
        <v>753597.64389341744</v>
      </c>
      <c r="J36" s="1">
        <f t="shared" si="3"/>
        <v>-807.2537033823545</v>
      </c>
      <c r="K36" s="9">
        <f t="shared" si="8"/>
        <v>788.95479689276692</v>
      </c>
      <c r="L36" s="2">
        <v>0</v>
      </c>
      <c r="M36" s="2">
        <f t="shared" si="9"/>
        <v>5831.7373021736694</v>
      </c>
      <c r="N36" s="8">
        <f t="shared" si="10"/>
        <v>-951.54313745855325</v>
      </c>
      <c r="O36" s="2"/>
      <c r="P36" s="2"/>
      <c r="Q36" s="2"/>
    </row>
    <row r="37" spans="1:17" x14ac:dyDescent="0.3">
      <c r="A37">
        <v>10</v>
      </c>
      <c r="B37" s="3">
        <f t="shared" si="0"/>
        <v>-41977.192575882436</v>
      </c>
      <c r="C37" s="3">
        <f t="shared" si="1"/>
        <v>-13528.651301015869</v>
      </c>
      <c r="D37" s="3">
        <f t="shared" si="2"/>
        <v>-28448.541274866566</v>
      </c>
      <c r="E37" s="3">
        <f t="shared" si="11"/>
        <v>499982.92405758618</v>
      </c>
      <c r="F37" s="3">
        <f t="shared" si="4"/>
        <v>43487.188404729313</v>
      </c>
      <c r="G37" s="8">
        <f t="shared" si="5"/>
        <v>7199.7040838201901</v>
      </c>
      <c r="H37" s="8">
        <f t="shared" si="6"/>
        <v>1343135.7724071406</v>
      </c>
      <c r="I37" s="8">
        <f t="shared" si="7"/>
        <v>843152.84834955446</v>
      </c>
      <c r="J37" s="1">
        <f t="shared" si="3"/>
        <v>-807.2537033823545</v>
      </c>
      <c r="K37" s="9">
        <f t="shared" si="8"/>
        <v>836.29208470633296</v>
      </c>
      <c r="L37" s="2">
        <v>0</v>
      </c>
      <c r="M37" s="2">
        <f t="shared" si="9"/>
        <v>5689.7082549733132</v>
      </c>
      <c r="N37" s="8">
        <f t="shared" si="10"/>
        <v>1509.995828846877</v>
      </c>
      <c r="O37" s="2"/>
      <c r="P37" s="2"/>
      <c r="Q37" s="2"/>
    </row>
    <row r="38" spans="1:17" x14ac:dyDescent="0.3">
      <c r="A38">
        <v>11</v>
      </c>
      <c r="B38" s="3">
        <f t="shared" si="0"/>
        <v>-41977.192575882436</v>
      </c>
      <c r="C38" s="3">
        <f t="shared" si="1"/>
        <v>-14278.138583092148</v>
      </c>
      <c r="D38" s="3">
        <f t="shared" si="2"/>
        <v>-27699.053992790283</v>
      </c>
      <c r="E38" s="3">
        <f t="shared" si="11"/>
        <v>485704.78547449404</v>
      </c>
      <c r="F38" s="3">
        <f t="shared" si="4"/>
        <v>46096.419709013076</v>
      </c>
      <c r="G38" s="8">
        <f t="shared" si="5"/>
        <v>9659.0379316886974</v>
      </c>
      <c r="H38" s="8">
        <f t="shared" si="6"/>
        <v>1423723.918751569</v>
      </c>
      <c r="I38" s="8">
        <f t="shared" si="7"/>
        <v>938019.1332770749</v>
      </c>
      <c r="J38" s="1">
        <f t="shared" si="3"/>
        <v>-807.2537033823545</v>
      </c>
      <c r="K38" s="9">
        <f t="shared" si="8"/>
        <v>886.469609788713</v>
      </c>
      <c r="L38" s="2">
        <v>0</v>
      </c>
      <c r="M38" s="2">
        <f t="shared" si="9"/>
        <v>5539.8107985580573</v>
      </c>
      <c r="N38" s="8">
        <f t="shared" si="10"/>
        <v>4119.2271331306401</v>
      </c>
      <c r="O38" s="2"/>
      <c r="P38" s="2"/>
      <c r="Q38" s="2"/>
    </row>
    <row r="39" spans="1:17" x14ac:dyDescent="0.3">
      <c r="A39">
        <v>12</v>
      </c>
      <c r="B39" s="3">
        <f t="shared" si="0"/>
        <v>-41977.192575882436</v>
      </c>
      <c r="C39" s="3">
        <f t="shared" si="1"/>
        <v>-15069.147460595455</v>
      </c>
      <c r="D39" s="3">
        <f t="shared" si="2"/>
        <v>-26908.045115286979</v>
      </c>
      <c r="E39" s="3">
        <f t="shared" si="11"/>
        <v>470635.63801389857</v>
      </c>
      <c r="F39" s="3">
        <f t="shared" si="4"/>
        <v>48862.204891553862</v>
      </c>
      <c r="G39" s="8">
        <f t="shared" si="5"/>
        <v>12266.621338728823</v>
      </c>
      <c r="H39" s="8">
        <f t="shared" si="6"/>
        <v>1509147.3538766631</v>
      </c>
      <c r="I39" s="8">
        <f t="shared" si="7"/>
        <v>1038511.7158627645</v>
      </c>
      <c r="J39" s="1">
        <f t="shared" si="3"/>
        <v>-807.2537033823545</v>
      </c>
      <c r="K39" s="9">
        <f t="shared" si="8"/>
        <v>939.6577863760358</v>
      </c>
      <c r="L39" s="2">
        <v>0</v>
      </c>
      <c r="M39" s="2">
        <f t="shared" si="9"/>
        <v>5381.6090230573964</v>
      </c>
      <c r="N39" s="8">
        <f t="shared" si="10"/>
        <v>6885.0123156714253</v>
      </c>
      <c r="O39" s="2"/>
      <c r="P39" s="2"/>
      <c r="Q39" s="2"/>
    </row>
    <row r="40" spans="1:17" x14ac:dyDescent="0.3">
      <c r="A40">
        <v>13</v>
      </c>
      <c r="B40" s="3">
        <f t="shared" si="0"/>
        <v>-41977.192575882436</v>
      </c>
      <c r="C40" s="3">
        <f t="shared" si="1"/>
        <v>-15903.978229912438</v>
      </c>
      <c r="D40" s="3">
        <f t="shared" si="2"/>
        <v>-26073.214345969995</v>
      </c>
      <c r="E40" s="3">
        <f t="shared" si="11"/>
        <v>454731.65978398611</v>
      </c>
      <c r="F40" s="3">
        <f t="shared" si="4"/>
        <v>51793.937185047092</v>
      </c>
      <c r="G40" s="8">
        <f t="shared" si="5"/>
        <v>15031.387478358654</v>
      </c>
      <c r="H40" s="8">
        <f t="shared" si="6"/>
        <v>1599696.1951092631</v>
      </c>
      <c r="I40" s="8">
        <f t="shared" si="7"/>
        <v>1144964.5353252769</v>
      </c>
      <c r="J40" s="1">
        <f t="shared" si="3"/>
        <v>-807.2537033823545</v>
      </c>
      <c r="K40" s="9">
        <f t="shared" si="8"/>
        <v>996.03725355859797</v>
      </c>
      <c r="L40" s="2">
        <v>0</v>
      </c>
      <c r="M40" s="2">
        <f t="shared" si="9"/>
        <v>5214.6428691939991</v>
      </c>
      <c r="N40" s="8">
        <f t="shared" si="10"/>
        <v>9816.7446091646561</v>
      </c>
      <c r="O40" s="2"/>
      <c r="P40" s="2"/>
      <c r="Q40" s="2"/>
    </row>
    <row r="41" spans="1:17" x14ac:dyDescent="0.3">
      <c r="A41">
        <v>14</v>
      </c>
      <c r="B41" s="3">
        <f t="shared" si="0"/>
        <v>-41977.192575882436</v>
      </c>
      <c r="C41" s="3">
        <f t="shared" si="1"/>
        <v>-16785.058623849593</v>
      </c>
      <c r="D41" s="3">
        <f t="shared" si="2"/>
        <v>-25192.133952032844</v>
      </c>
      <c r="E41" s="3">
        <f t="shared" si="11"/>
        <v>437946.60116013652</v>
      </c>
      <c r="F41" s="3">
        <f t="shared" si="4"/>
        <v>54901.57341614992</v>
      </c>
      <c r="G41" s="8">
        <f t="shared" si="5"/>
        <v>17962.807630674055</v>
      </c>
      <c r="H41" s="8">
        <f t="shared" si="6"/>
        <v>1695677.966815819</v>
      </c>
      <c r="I41" s="8">
        <f t="shared" si="7"/>
        <v>1257731.3656556825</v>
      </c>
      <c r="J41" s="1">
        <f t="shared" si="3"/>
        <v>-807.2537033823545</v>
      </c>
      <c r="K41" s="9">
        <f t="shared" si="8"/>
        <v>1055.7994887721138</v>
      </c>
      <c r="L41" s="2">
        <v>0</v>
      </c>
      <c r="M41" s="2">
        <f t="shared" si="9"/>
        <v>5038.4267904065691</v>
      </c>
      <c r="N41" s="8">
        <f t="shared" si="10"/>
        <v>12924.380840267484</v>
      </c>
      <c r="O41" s="2"/>
      <c r="P41" s="2"/>
      <c r="Q41" s="2"/>
    </row>
    <row r="42" spans="1:17" x14ac:dyDescent="0.3">
      <c r="A42">
        <v>15</v>
      </c>
      <c r="B42" s="3">
        <f t="shared" si="0"/>
        <v>-41977.192575882436</v>
      </c>
      <c r="C42" s="3">
        <f t="shared" si="1"/>
        <v>-17714.950871610858</v>
      </c>
      <c r="D42" s="3">
        <f t="shared" si="2"/>
        <v>-24262.241704271575</v>
      </c>
      <c r="E42" s="3">
        <f t="shared" si="11"/>
        <v>420231.65028852568</v>
      </c>
      <c r="F42" s="3">
        <f t="shared" si="4"/>
        <v>58195.667821118914</v>
      </c>
      <c r="G42" s="8">
        <f t="shared" si="5"/>
        <v>21070.923586090794</v>
      </c>
      <c r="H42" s="8">
        <f t="shared" si="6"/>
        <v>1797418.6448247682</v>
      </c>
      <c r="I42" s="8">
        <f t="shared" si="7"/>
        <v>1377186.9945362424</v>
      </c>
      <c r="J42" s="1">
        <f t="shared" si="3"/>
        <v>-807.2537033823545</v>
      </c>
      <c r="K42" s="9">
        <f t="shared" si="8"/>
        <v>1119.1474580984407</v>
      </c>
      <c r="L42" s="2">
        <v>0</v>
      </c>
      <c r="M42" s="2">
        <f t="shared" si="9"/>
        <v>4852.4483408543156</v>
      </c>
      <c r="N42" s="8">
        <f t="shared" si="10"/>
        <v>16218.475245236477</v>
      </c>
      <c r="O42" s="2"/>
      <c r="P42" s="2"/>
      <c r="Q42" s="2"/>
    </row>
    <row r="43" spans="1:17" x14ac:dyDescent="0.3">
      <c r="A43">
        <v>16</v>
      </c>
      <c r="B43" s="3">
        <f t="shared" si="0"/>
        <v>-41977.192575882436</v>
      </c>
      <c r="C43" s="3">
        <f t="shared" si="1"/>
        <v>-18696.3591498981</v>
      </c>
      <c r="D43" s="3">
        <f t="shared" si="2"/>
        <v>-23280.833425984336</v>
      </c>
      <c r="E43" s="3">
        <f t="shared" si="11"/>
        <v>401535.29113862757</v>
      </c>
      <c r="F43" s="3">
        <f t="shared" si="4"/>
        <v>61687.407890386057</v>
      </c>
      <c r="G43" s="8">
        <f t="shared" si="5"/>
        <v>24366.38199970049</v>
      </c>
      <c r="H43" s="8">
        <f t="shared" si="6"/>
        <v>1905263.7635142545</v>
      </c>
      <c r="I43" s="8">
        <f t="shared" si="7"/>
        <v>1503728.4723756269</v>
      </c>
      <c r="J43" s="1">
        <f t="shared" si="3"/>
        <v>-807.2537033823545</v>
      </c>
      <c r="K43" s="9">
        <f t="shared" si="8"/>
        <v>1186.2963055843472</v>
      </c>
      <c r="L43" s="2">
        <v>0</v>
      </c>
      <c r="M43" s="2">
        <f t="shared" si="9"/>
        <v>4656.1666851968675</v>
      </c>
      <c r="N43" s="8">
        <f t="shared" si="10"/>
        <v>19710.215314503621</v>
      </c>
      <c r="O43" s="2"/>
      <c r="P43" s="2"/>
      <c r="Q43" s="2"/>
    </row>
    <row r="44" spans="1:17" x14ac:dyDescent="0.3">
      <c r="A44">
        <v>17</v>
      </c>
      <c r="B44" s="3">
        <f t="shared" si="0"/>
        <v>-41977.192575882436</v>
      </c>
      <c r="C44" s="3">
        <f t="shared" si="1"/>
        <v>-19732.137446802455</v>
      </c>
      <c r="D44" s="3">
        <f t="shared" si="2"/>
        <v>-22245.055129079978</v>
      </c>
      <c r="E44" s="3">
        <f t="shared" si="11"/>
        <v>381803.15369182511</v>
      </c>
      <c r="F44" s="3">
        <f t="shared" si="4"/>
        <v>65388.652363809219</v>
      </c>
      <c r="G44" s="8">
        <f t="shared" si="5"/>
        <v>27860.470813742777</v>
      </c>
      <c r="H44" s="8">
        <f t="shared" si="6"/>
        <v>2019579.5893251097</v>
      </c>
      <c r="I44" s="8">
        <f t="shared" si="7"/>
        <v>1637776.4356332845</v>
      </c>
      <c r="J44" s="1">
        <f t="shared" si="3"/>
        <v>-807.2537033823545</v>
      </c>
      <c r="K44" s="9">
        <f t="shared" si="8"/>
        <v>1257.474083919408</v>
      </c>
      <c r="L44" s="2">
        <v>0</v>
      </c>
      <c r="M44" s="2">
        <f t="shared" si="9"/>
        <v>4449.0110258159957</v>
      </c>
      <c r="N44" s="8">
        <f t="shared" si="10"/>
        <v>23411.459787926782</v>
      </c>
      <c r="O44" s="2"/>
      <c r="P44" s="2"/>
      <c r="Q44" s="2"/>
    </row>
    <row r="45" spans="1:17" x14ac:dyDescent="0.3">
      <c r="A45">
        <v>18</v>
      </c>
      <c r="B45" s="3">
        <f t="shared" si="0"/>
        <v>-41977.192575882436</v>
      </c>
      <c r="C45" s="3">
        <f t="shared" si="1"/>
        <v>-20825.297861355306</v>
      </c>
      <c r="D45" s="3">
        <f t="shared" si="2"/>
        <v>-21151.894714527127</v>
      </c>
      <c r="E45" s="3">
        <f t="shared" si="11"/>
        <v>360977.85583046981</v>
      </c>
      <c r="F45" s="3">
        <f t="shared" si="4"/>
        <v>69311.971505637775</v>
      </c>
      <c r="G45" s="8">
        <f t="shared" si="5"/>
        <v>31565.157872660766</v>
      </c>
      <c r="H45" s="8">
        <f t="shared" si="6"/>
        <v>2140754.3646846162</v>
      </c>
      <c r="I45" s="8">
        <f t="shared" si="7"/>
        <v>1779776.5088541463</v>
      </c>
      <c r="J45" s="1">
        <f t="shared" si="3"/>
        <v>-807.2537033823545</v>
      </c>
      <c r="K45" s="9">
        <f t="shared" si="8"/>
        <v>1332.9225289545725</v>
      </c>
      <c r="L45" s="2">
        <v>0</v>
      </c>
      <c r="M45" s="2">
        <f t="shared" si="9"/>
        <v>4230.3789429054259</v>
      </c>
      <c r="N45" s="8">
        <f t="shared" si="10"/>
        <v>27334.778929755339</v>
      </c>
      <c r="O45" s="2"/>
      <c r="P45" s="2"/>
      <c r="Q45" s="2"/>
    </row>
    <row r="46" spans="1:17" x14ac:dyDescent="0.3">
      <c r="A46">
        <v>19</v>
      </c>
      <c r="B46" s="3">
        <f t="shared" si="0"/>
        <v>-41977.192575882436</v>
      </c>
      <c r="C46" s="3">
        <f t="shared" si="1"/>
        <v>-21979.019362874391</v>
      </c>
      <c r="D46" s="3">
        <f t="shared" si="2"/>
        <v>-19998.173213008042</v>
      </c>
      <c r="E46" s="3">
        <f t="shared" si="11"/>
        <v>338998.83646759542</v>
      </c>
      <c r="F46" s="3">
        <f t="shared" si="4"/>
        <v>73470.689795976039</v>
      </c>
      <c r="G46" s="8">
        <f t="shared" si="5"/>
        <v>35493.131862695212</v>
      </c>
      <c r="H46" s="8">
        <f t="shared" si="6"/>
        <v>2269199.6265656934</v>
      </c>
      <c r="I46" s="8">
        <f t="shared" si="7"/>
        <v>1930200.7900980981</v>
      </c>
      <c r="J46" s="1">
        <f t="shared" si="3"/>
        <v>-807.2537033823545</v>
      </c>
      <c r="K46" s="9">
        <f t="shared" si="8"/>
        <v>1412.8978806918469</v>
      </c>
      <c r="L46" s="2">
        <v>0</v>
      </c>
      <c r="M46" s="2">
        <f t="shared" si="9"/>
        <v>3999.6346426016084</v>
      </c>
      <c r="N46" s="8">
        <f t="shared" si="10"/>
        <v>31493.497220093603</v>
      </c>
      <c r="O46" s="2"/>
      <c r="P46" s="2"/>
      <c r="Q46" s="2"/>
    </row>
    <row r="47" spans="1:17" x14ac:dyDescent="0.3">
      <c r="A47">
        <v>20</v>
      </c>
      <c r="B47" s="3">
        <f t="shared" si="0"/>
        <v>-41977.192575882436</v>
      </c>
      <c r="C47" s="3">
        <f t="shared" si="1"/>
        <v>-23196.657035577631</v>
      </c>
      <c r="D47" s="3">
        <f t="shared" si="2"/>
        <v>-18780.535540304802</v>
      </c>
      <c r="E47" s="3">
        <f t="shared" si="11"/>
        <v>315802.17943201779</v>
      </c>
      <c r="F47" s="3">
        <f t="shared" si="4"/>
        <v>77878.931183734603</v>
      </c>
      <c r="G47" s="8">
        <f t="shared" si="5"/>
        <v>39657.845715913129</v>
      </c>
      <c r="H47" s="8">
        <f t="shared" si="6"/>
        <v>2405351.604159635</v>
      </c>
      <c r="I47" s="8">
        <f t="shared" si="7"/>
        <v>2089549.4247276173</v>
      </c>
      <c r="J47" s="1">
        <f t="shared" si="3"/>
        <v>-807.2537033823545</v>
      </c>
      <c r="K47" s="9">
        <f t="shared" si="8"/>
        <v>1497.6717535333578</v>
      </c>
      <c r="L47" s="2">
        <v>0</v>
      </c>
      <c r="M47" s="2">
        <f t="shared" si="9"/>
        <v>3756.1071080609604</v>
      </c>
      <c r="N47" s="8">
        <f t="shared" si="10"/>
        <v>35901.738607852167</v>
      </c>
      <c r="O47" s="2"/>
      <c r="P47" s="2"/>
      <c r="Q47" s="2"/>
    </row>
    <row r="48" spans="1:17" x14ac:dyDescent="0.3">
      <c r="A48">
        <v>21</v>
      </c>
      <c r="B48" s="3">
        <f t="shared" si="0"/>
        <v>-41977.192575882436</v>
      </c>
      <c r="C48" s="3">
        <f t="shared" si="1"/>
        <v>-24481.751835348634</v>
      </c>
      <c r="D48" s="3">
        <f t="shared" si="2"/>
        <v>-17495.440740533802</v>
      </c>
      <c r="E48" s="3">
        <f t="shared" si="11"/>
        <v>291320.42759666918</v>
      </c>
      <c r="F48" s="3">
        <f t="shared" si="4"/>
        <v>82551.667054758684</v>
      </c>
      <c r="G48" s="8">
        <f t="shared" si="5"/>
        <v>44073.56262698301</v>
      </c>
      <c r="H48" s="8">
        <f t="shared" si="6"/>
        <v>2549672.7004092131</v>
      </c>
      <c r="I48" s="8">
        <f t="shared" si="7"/>
        <v>2258352.2728125439</v>
      </c>
      <c r="J48" s="1">
        <f t="shared" si="3"/>
        <v>-807.2537033823545</v>
      </c>
      <c r="K48" s="9">
        <f t="shared" si="8"/>
        <v>1587.5320587453593</v>
      </c>
      <c r="L48" s="2">
        <v>0</v>
      </c>
      <c r="M48" s="2">
        <f t="shared" si="9"/>
        <v>3499.0881481067609</v>
      </c>
      <c r="N48" s="8">
        <f t="shared" si="10"/>
        <v>40574.474478876247</v>
      </c>
      <c r="O48" s="2"/>
      <c r="P48" s="2"/>
      <c r="Q48" s="2"/>
    </row>
    <row r="49" spans="1:17" x14ac:dyDescent="0.3">
      <c r="A49">
        <v>22</v>
      </c>
      <c r="B49" s="3">
        <f t="shared" si="0"/>
        <v>-41977.192575882436</v>
      </c>
      <c r="C49" s="3">
        <f t="shared" si="1"/>
        <v>-25838.040887026946</v>
      </c>
      <c r="D49" s="3">
        <f t="shared" si="2"/>
        <v>-16139.151688855485</v>
      </c>
      <c r="E49" s="3">
        <f t="shared" si="11"/>
        <v>265482.38670964225</v>
      </c>
      <c r="F49" s="3">
        <f t="shared" si="4"/>
        <v>87504.767078044213</v>
      </c>
      <c r="G49" s="8">
        <f t="shared" si="5"/>
        <v>48755.404839932875</v>
      </c>
      <c r="H49" s="8">
        <f t="shared" si="6"/>
        <v>2702653.0624337662</v>
      </c>
      <c r="I49" s="8">
        <f t="shared" si="7"/>
        <v>2437170.6757241241</v>
      </c>
      <c r="J49" s="1">
        <f t="shared" si="3"/>
        <v>-807.2537033823545</v>
      </c>
      <c r="K49" s="9">
        <f t="shared" si="8"/>
        <v>1682.783982270081</v>
      </c>
      <c r="L49" s="2">
        <v>0</v>
      </c>
      <c r="M49" s="2">
        <f t="shared" si="9"/>
        <v>3227.8303377710972</v>
      </c>
      <c r="N49" s="8">
        <f t="shared" si="10"/>
        <v>45527.574502161777</v>
      </c>
      <c r="O49" s="2"/>
      <c r="P49" s="2"/>
      <c r="Q49" s="2"/>
    </row>
    <row r="50" spans="1:17" x14ac:dyDescent="0.3">
      <c r="A50">
        <v>23</v>
      </c>
      <c r="B50" s="3">
        <f t="shared" si="0"/>
        <v>-41977.192575882436</v>
      </c>
      <c r="C50" s="3">
        <f t="shared" si="1"/>
        <v>-27269.468352168242</v>
      </c>
      <c r="D50" s="3">
        <f t="shared" si="2"/>
        <v>-14707.724223714193</v>
      </c>
      <c r="E50" s="3">
        <f t="shared" si="11"/>
        <v>238212.918357474</v>
      </c>
      <c r="F50" s="3">
        <f t="shared" si="4"/>
        <v>92755.053102726873</v>
      </c>
      <c r="G50" s="8">
        <f t="shared" si="5"/>
        <v>53719.405371587272</v>
      </c>
      <c r="H50" s="8">
        <f t="shared" si="6"/>
        <v>2864812.2461797921</v>
      </c>
      <c r="I50" s="8">
        <f t="shared" si="7"/>
        <v>2626599.3278223183</v>
      </c>
      <c r="J50" s="1">
        <f t="shared" si="3"/>
        <v>-807.2537033823545</v>
      </c>
      <c r="K50" s="9">
        <f t="shared" si="8"/>
        <v>1783.7510212062859</v>
      </c>
      <c r="L50" s="2">
        <v>0</v>
      </c>
      <c r="M50" s="2">
        <f t="shared" si="9"/>
        <v>2941.5448447428389</v>
      </c>
      <c r="N50" s="8">
        <f t="shared" si="10"/>
        <v>50777.860526844437</v>
      </c>
      <c r="O50" s="2"/>
      <c r="P50" s="2"/>
      <c r="Q50" s="2"/>
    </row>
    <row r="51" spans="1:17" x14ac:dyDescent="0.3">
      <c r="A51">
        <v>24</v>
      </c>
      <c r="B51" s="3">
        <f t="shared" si="0"/>
        <v>-41977.192575882436</v>
      </c>
      <c r="C51" s="3">
        <f t="shared" si="1"/>
        <v>-28780.196898878359</v>
      </c>
      <c r="D51" s="3">
        <f t="shared" si="2"/>
        <v>-13196.99567700407</v>
      </c>
      <c r="E51" s="3">
        <f t="shared" si="11"/>
        <v>209432.72145859565</v>
      </c>
      <c r="F51" s="3">
        <f t="shared" si="4"/>
        <v>98320.356288890485</v>
      </c>
      <c r="G51" s="8">
        <f t="shared" si="5"/>
        <v>58982.562848408867</v>
      </c>
      <c r="H51" s="8">
        <f t="shared" si="6"/>
        <v>3036700.98095058</v>
      </c>
      <c r="I51" s="8">
        <f t="shared" si="7"/>
        <v>2827268.2594919843</v>
      </c>
      <c r="J51" s="1">
        <f t="shared" si="3"/>
        <v>-807.2537033823545</v>
      </c>
      <c r="K51" s="9">
        <f t="shared" si="8"/>
        <v>1890.7760824786633</v>
      </c>
      <c r="L51" s="2">
        <v>0</v>
      </c>
      <c r="M51" s="2">
        <f t="shared" si="9"/>
        <v>2639.399135400814</v>
      </c>
      <c r="N51" s="8">
        <f t="shared" si="10"/>
        <v>56343.163713008049</v>
      </c>
      <c r="O51" s="2"/>
      <c r="P51" s="2"/>
      <c r="Q51" s="2"/>
    </row>
    <row r="52" spans="1:17" x14ac:dyDescent="0.3">
      <c r="A52">
        <v>25</v>
      </c>
      <c r="B52" s="3">
        <f t="shared" si="0"/>
        <v>-41977.192575882436</v>
      </c>
      <c r="C52" s="3">
        <f t="shared" si="1"/>
        <v>-30374.619807076226</v>
      </c>
      <c r="D52" s="3">
        <f t="shared" si="2"/>
        <v>-11602.572768806212</v>
      </c>
      <c r="E52" s="3">
        <f t="shared" si="11"/>
        <v>179058.10165151942</v>
      </c>
      <c r="F52" s="3">
        <f t="shared" si="4"/>
        <v>104219.57766622392</v>
      </c>
      <c r="G52" s="8">
        <f t="shared" si="5"/>
        <v>64562.899644102727</v>
      </c>
      <c r="H52" s="8">
        <f t="shared" si="6"/>
        <v>3218903.0398076149</v>
      </c>
      <c r="I52" s="8">
        <f t="shared" si="7"/>
        <v>3039844.9381560953</v>
      </c>
      <c r="J52" s="1">
        <f t="shared" si="3"/>
        <v>-807.2537033823545</v>
      </c>
      <c r="K52" s="9">
        <f t="shared" si="8"/>
        <v>2004.2226474273832</v>
      </c>
      <c r="L52" s="2">
        <v>0</v>
      </c>
      <c r="M52" s="2">
        <f t="shared" si="9"/>
        <v>2320.5145537612425</v>
      </c>
      <c r="N52" s="8">
        <f t="shared" si="10"/>
        <v>62242.385090341486</v>
      </c>
      <c r="O52" s="2"/>
      <c r="P52" s="2"/>
      <c r="Q52" s="2"/>
    </row>
    <row r="53" spans="1:17" x14ac:dyDescent="0.3">
      <c r="A53">
        <v>26</v>
      </c>
      <c r="B53" s="3">
        <f t="shared" si="0"/>
        <v>-41977.192575882436</v>
      </c>
      <c r="C53" s="3">
        <f t="shared" si="1"/>
        <v>-32057.373744388246</v>
      </c>
      <c r="D53" s="3">
        <f t="shared" si="2"/>
        <v>-9919.8188314941872</v>
      </c>
      <c r="E53" s="3">
        <f t="shared" si="11"/>
        <v>147000.72790713116</v>
      </c>
      <c r="F53" s="3">
        <f t="shared" si="4"/>
        <v>110472.75232619735</v>
      </c>
      <c r="G53" s="8">
        <f t="shared" si="5"/>
        <v>70479.523516613757</v>
      </c>
      <c r="H53" s="8">
        <f t="shared" si="6"/>
        <v>3412037.2221960719</v>
      </c>
      <c r="I53" s="8">
        <f t="shared" si="7"/>
        <v>3265036.4942889409</v>
      </c>
      <c r="J53" s="1">
        <f t="shared" si="3"/>
        <v>-807.2537033823545</v>
      </c>
      <c r="K53" s="9">
        <f t="shared" si="8"/>
        <v>2124.4760062730261</v>
      </c>
      <c r="L53" s="2">
        <v>0</v>
      </c>
      <c r="M53" s="2">
        <f t="shared" si="9"/>
        <v>1983.9637662988375</v>
      </c>
      <c r="N53" s="8">
        <f t="shared" si="10"/>
        <v>68495.559750314918</v>
      </c>
      <c r="O53" s="2"/>
      <c r="P53" s="2"/>
      <c r="Q53" s="2"/>
    </row>
    <row r="54" spans="1:17" x14ac:dyDescent="0.3">
      <c r="A54">
        <v>27</v>
      </c>
      <c r="B54" s="3">
        <f t="shared" si="0"/>
        <v>-41977.192575882436</v>
      </c>
      <c r="C54" s="3">
        <f t="shared" si="1"/>
        <v>-33833.352249827352</v>
      </c>
      <c r="D54" s="3">
        <f t="shared" si="2"/>
        <v>-8143.8403260550795</v>
      </c>
      <c r="E54" s="3">
        <f t="shared" si="11"/>
        <v>113167.37565730381</v>
      </c>
      <c r="F54" s="3">
        <f t="shared" si="4"/>
        <v>117101.11746576922</v>
      </c>
      <c r="G54" s="8">
        <f t="shared" si="5"/>
        <v>76752.692955097795</v>
      </c>
      <c r="H54" s="8">
        <f t="shared" si="6"/>
        <v>3616759.4555278365</v>
      </c>
      <c r="I54" s="8">
        <f t="shared" si="7"/>
        <v>3503592.0798705327</v>
      </c>
      <c r="J54" s="1">
        <f t="shared" si="3"/>
        <v>-807.2537033823545</v>
      </c>
      <c r="K54" s="9">
        <f t="shared" si="8"/>
        <v>2251.944566649408</v>
      </c>
      <c r="L54" s="2">
        <v>0</v>
      </c>
      <c r="M54" s="2">
        <f t="shared" si="9"/>
        <v>1628.7680652110159</v>
      </c>
      <c r="N54" s="8">
        <f t="shared" si="10"/>
        <v>75123.924889886781</v>
      </c>
      <c r="O54" s="2"/>
      <c r="P54" s="2"/>
      <c r="Q54" s="2"/>
    </row>
    <row r="55" spans="1:17" x14ac:dyDescent="0.3">
      <c r="A55">
        <v>28</v>
      </c>
      <c r="B55" s="3">
        <f t="shared" si="0"/>
        <v>-41977.192575882436</v>
      </c>
      <c r="C55" s="3">
        <f t="shared" si="1"/>
        <v>-35707.719964467789</v>
      </c>
      <c r="D55" s="3">
        <f t="shared" si="2"/>
        <v>-6269.4726114146451</v>
      </c>
      <c r="E55" s="3">
        <f t="shared" si="11"/>
        <v>77459.655692836022</v>
      </c>
      <c r="F55" s="3">
        <f t="shared" si="4"/>
        <v>124127.18451371536</v>
      </c>
      <c r="G55" s="8">
        <f t="shared" si="5"/>
        <v>83403.886460115857</v>
      </c>
      <c r="H55" s="8">
        <f t="shared" si="6"/>
        <v>3833765.0228595068</v>
      </c>
      <c r="I55" s="8">
        <f t="shared" si="7"/>
        <v>3756305.367166671</v>
      </c>
      <c r="J55" s="1">
        <f t="shared" si="3"/>
        <v>-807.2537033823545</v>
      </c>
      <c r="K55" s="9">
        <f t="shared" si="8"/>
        <v>2387.0612406483724</v>
      </c>
      <c r="L55" s="2">
        <v>0</v>
      </c>
      <c r="M55" s="2">
        <f t="shared" si="9"/>
        <v>1253.8945222829291</v>
      </c>
      <c r="N55" s="8">
        <f t="shared" si="10"/>
        <v>82149.991937832921</v>
      </c>
      <c r="O55" s="2"/>
      <c r="P55" s="2"/>
      <c r="Q55" s="2"/>
    </row>
    <row r="56" spans="1:17" x14ac:dyDescent="0.3">
      <c r="A56">
        <v>29</v>
      </c>
      <c r="B56" s="3">
        <f t="shared" si="0"/>
        <v>-41977.192575882436</v>
      </c>
      <c r="C56" s="3">
        <f t="shared" si="1"/>
        <v>-37685.927650499303</v>
      </c>
      <c r="D56" s="3">
        <f t="shared" si="2"/>
        <v>-4291.2649253831296</v>
      </c>
      <c r="E56" s="3">
        <f t="shared" si="11"/>
        <v>39773.728042336719</v>
      </c>
      <c r="F56" s="3">
        <f t="shared" si="4"/>
        <v>131574.8155845383</v>
      </c>
      <c r="G56" s="8">
        <f t="shared" si="5"/>
        <v>90455.875993732494</v>
      </c>
      <c r="H56" s="8">
        <f t="shared" si="6"/>
        <v>4063790.9242310775</v>
      </c>
      <c r="I56" s="8">
        <f t="shared" si="7"/>
        <v>4024017.1961887409</v>
      </c>
      <c r="J56" s="1">
        <f t="shared" si="3"/>
        <v>-807.2537033823545</v>
      </c>
      <c r="K56" s="9">
        <f t="shared" si="8"/>
        <v>2530.2849150872748</v>
      </c>
      <c r="L56" s="2">
        <v>0</v>
      </c>
      <c r="M56" s="2">
        <f t="shared" si="9"/>
        <v>858.25298507662592</v>
      </c>
      <c r="N56" s="8">
        <f t="shared" si="10"/>
        <v>89597.623008655864</v>
      </c>
      <c r="O56" s="2"/>
      <c r="P56" s="2"/>
      <c r="Q56" s="2"/>
    </row>
    <row r="57" spans="1:17" x14ac:dyDescent="0.3">
      <c r="A57">
        <v>30</v>
      </c>
      <c r="B57" s="3">
        <f t="shared" si="0"/>
        <v>-41977.192575882436</v>
      </c>
      <c r="C57" s="3">
        <f t="shared" si="1"/>
        <v>-39773.728042336967</v>
      </c>
      <c r="D57" s="3">
        <f t="shared" si="2"/>
        <v>-2203.4645335454679</v>
      </c>
      <c r="E57" s="3">
        <f t="shared" si="11"/>
        <v>-2.4738255888223648E-10</v>
      </c>
      <c r="F57" s="3">
        <f t="shared" si="4"/>
        <v>139469.3045196106</v>
      </c>
      <c r="G57" s="8">
        <f t="shared" si="5"/>
        <v>97932.804850437256</v>
      </c>
      <c r="H57" s="8">
        <f t="shared" si="6"/>
        <v>4307618.3796849428</v>
      </c>
      <c r="I57" s="8">
        <f t="shared" si="7"/>
        <v>4307618.3796849428</v>
      </c>
      <c r="J57" s="1">
        <f t="shared" si="3"/>
        <v>-807.2537033823545</v>
      </c>
      <c r="K57" s="9">
        <f t="shared" si="8"/>
        <v>2682.1020099925113</v>
      </c>
      <c r="L57" s="2">
        <v>0</v>
      </c>
      <c r="M57" s="2">
        <f t="shared" si="9"/>
        <v>440.69290670909362</v>
      </c>
      <c r="N57" s="8">
        <f t="shared" si="10"/>
        <v>97492.11194372816</v>
      </c>
      <c r="O57" s="2"/>
      <c r="P57" s="2"/>
      <c r="Q57" s="2"/>
    </row>
    <row r="58" spans="1:17" x14ac:dyDescent="0.3">
      <c r="K58" s="1"/>
      <c r="L58" s="2"/>
      <c r="M58" s="2"/>
      <c r="O58" s="2"/>
      <c r="P58" s="2"/>
      <c r="Q58" s="2"/>
    </row>
    <row r="59" spans="1:17" x14ac:dyDescent="0.3">
      <c r="K59" s="1"/>
      <c r="L59" s="2"/>
      <c r="M59" s="2"/>
      <c r="O59" s="2"/>
      <c r="P59" s="2"/>
      <c r="Q59" s="2"/>
    </row>
    <row r="60" spans="1:17" x14ac:dyDescent="0.3">
      <c r="K60" s="1"/>
      <c r="L60" s="2"/>
      <c r="M60" s="2"/>
      <c r="O60" s="2"/>
      <c r="P60" s="2"/>
      <c r="Q60" s="2"/>
    </row>
    <row r="61" spans="1:17" x14ac:dyDescent="0.3">
      <c r="K61" s="1"/>
      <c r="L61" s="2"/>
      <c r="M61" s="2"/>
      <c r="O61" s="2"/>
      <c r="P61" s="2"/>
      <c r="Q61" s="2"/>
    </row>
    <row r="62" spans="1:17" x14ac:dyDescent="0.3">
      <c r="K62" s="1"/>
      <c r="Q62" s="2"/>
    </row>
  </sheetData>
  <conditionalFormatting sqref="G1:I1048576 N1:N1048576">
    <cfRule type="cellIs" dxfId="0" priority="2" operator="lessThan">
      <formula>0</formula>
    </cfRule>
  </conditionalFormatting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ab0dfb63-2604-44bb-96be-964f1341999a}" enabled="1" method="Privileged" siteId="{45d5d807-c5ae-44c5-bb86-42f20fdebfeb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9</vt:i4>
      </vt:variant>
    </vt:vector>
  </HeadingPairs>
  <TitlesOfParts>
    <vt:vector size="10" baseType="lpstr">
      <vt:lpstr>finance</vt:lpstr>
      <vt:lpstr>Amount</vt:lpstr>
      <vt:lpstr>Annual_Rate</vt:lpstr>
      <vt:lpstr>cap_appreciation_rate</vt:lpstr>
      <vt:lpstr>Initial_Value</vt:lpstr>
      <vt:lpstr>Payments___Year</vt:lpstr>
      <vt:lpstr>rental_growth</vt:lpstr>
      <vt:lpstr>rental_income</vt:lpstr>
      <vt:lpstr>rental_yield</vt:lpstr>
      <vt:lpstr>Years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Jose.BibinM[HRDIV]</dc:creator>
  <cp:lastModifiedBy>Jose.BibinM[HRDIV]</cp:lastModifiedBy>
  <dcterms:created xsi:type="dcterms:W3CDTF">2025-11-13T01:01:54Z</dcterms:created>
  <dcterms:modified xsi:type="dcterms:W3CDTF">2025-11-24T05:26:29Z</dcterms:modified>
</cp:coreProperties>
</file>