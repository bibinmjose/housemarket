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047657\Documents\calculations\hmark\"/>
    </mc:Choice>
  </mc:AlternateContent>
  <xr:revisionPtr revIDLastSave="0" documentId="13_ncr:1_{62EEE4BA-BE2B-453C-8679-289C913F4CCE}" xr6:coauthVersionLast="47" xr6:coauthVersionMax="47" xr10:uidLastSave="{00000000-0000-0000-0000-000000000000}"/>
  <bookViews>
    <workbookView xWindow="60720" yWindow="870" windowWidth="21795" windowHeight="14535" xr2:uid="{61E349DD-C396-4897-954F-94B6F0CC0F58}"/>
  </bookViews>
  <sheets>
    <sheet name="finance" sheetId="2" r:id="rId1"/>
  </sheets>
  <definedNames>
    <definedName name="Amount">finance!$B$4</definedName>
    <definedName name="Annual_Rate">finance!$B$1</definedName>
    <definedName name="cap_appreciation_rate">finance!$E$1</definedName>
    <definedName name="Payments___Year">finance!$B$2</definedName>
    <definedName name="rental_growth">finance!$E$4</definedName>
    <definedName name="rental_income">finance!$E$2</definedName>
    <definedName name="rental_yield">finance!$E$3</definedName>
    <definedName name="Years">finance!$B$3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2" l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K9" i="2"/>
  <c r="F9" i="2" s="1"/>
  <c r="I9" i="2" l="1"/>
  <c r="K10" i="2"/>
  <c r="B11" i="2"/>
  <c r="C11" i="2"/>
  <c r="D11" i="2"/>
  <c r="B12" i="2"/>
  <c r="C12" i="2"/>
  <c r="D12" i="2"/>
  <c r="B13" i="2"/>
  <c r="C13" i="2"/>
  <c r="D13" i="2"/>
  <c r="B14" i="2"/>
  <c r="C14" i="2"/>
  <c r="D14" i="2"/>
  <c r="B15" i="2"/>
  <c r="C15" i="2"/>
  <c r="D15" i="2"/>
  <c r="B16" i="2"/>
  <c r="C16" i="2"/>
  <c r="D16" i="2"/>
  <c r="B17" i="2"/>
  <c r="C17" i="2"/>
  <c r="D17" i="2"/>
  <c r="B18" i="2"/>
  <c r="C18" i="2"/>
  <c r="D18" i="2"/>
  <c r="B19" i="2"/>
  <c r="C19" i="2"/>
  <c r="D19" i="2"/>
  <c r="B20" i="2"/>
  <c r="C20" i="2"/>
  <c r="D20" i="2"/>
  <c r="B21" i="2"/>
  <c r="C21" i="2"/>
  <c r="D21" i="2"/>
  <c r="B22" i="2"/>
  <c r="C22" i="2"/>
  <c r="D22" i="2"/>
  <c r="B23" i="2"/>
  <c r="C23" i="2"/>
  <c r="D23" i="2"/>
  <c r="B24" i="2"/>
  <c r="C24" i="2"/>
  <c r="D24" i="2"/>
  <c r="B25" i="2"/>
  <c r="C25" i="2"/>
  <c r="D25" i="2"/>
  <c r="B26" i="2"/>
  <c r="C26" i="2"/>
  <c r="D26" i="2"/>
  <c r="B27" i="2"/>
  <c r="C27" i="2"/>
  <c r="D27" i="2"/>
  <c r="B28" i="2"/>
  <c r="C28" i="2"/>
  <c r="D28" i="2"/>
  <c r="B29" i="2"/>
  <c r="C29" i="2"/>
  <c r="D29" i="2"/>
  <c r="B30" i="2"/>
  <c r="C30" i="2"/>
  <c r="D30" i="2"/>
  <c r="B31" i="2"/>
  <c r="C31" i="2"/>
  <c r="D31" i="2"/>
  <c r="B32" i="2"/>
  <c r="C32" i="2"/>
  <c r="D32" i="2"/>
  <c r="B33" i="2"/>
  <c r="C33" i="2"/>
  <c r="D33" i="2"/>
  <c r="B34" i="2"/>
  <c r="C34" i="2"/>
  <c r="D34" i="2"/>
  <c r="B35" i="2"/>
  <c r="C35" i="2"/>
  <c r="D35" i="2"/>
  <c r="B36" i="2"/>
  <c r="C36" i="2"/>
  <c r="D36" i="2"/>
  <c r="B37" i="2"/>
  <c r="C37" i="2"/>
  <c r="D37" i="2"/>
  <c r="B38" i="2"/>
  <c r="C38" i="2"/>
  <c r="D38" i="2"/>
  <c r="B10" i="2"/>
  <c r="C10" i="2"/>
  <c r="D10" i="2"/>
  <c r="D9" i="2"/>
  <c r="C9" i="2"/>
  <c r="E9" i="2" s="1"/>
  <c r="B9" i="2"/>
  <c r="J16" i="2" l="1"/>
  <c r="J11" i="2"/>
  <c r="J20" i="2"/>
  <c r="J29" i="2"/>
  <c r="J15" i="2"/>
  <c r="J25" i="2"/>
  <c r="J34" i="2"/>
  <c r="J38" i="2"/>
  <c r="J24" i="2"/>
  <c r="J35" i="2"/>
  <c r="J21" i="2"/>
  <c r="J33" i="2"/>
  <c r="J19" i="2"/>
  <c r="J28" i="2"/>
  <c r="J14" i="2"/>
  <c r="J30" i="2"/>
  <c r="J10" i="2"/>
  <c r="J37" i="2"/>
  <c r="J23" i="2"/>
  <c r="J32" i="2"/>
  <c r="J18" i="2"/>
  <c r="J13" i="2"/>
  <c r="J36" i="2"/>
  <c r="J22" i="2"/>
  <c r="J27" i="2"/>
  <c r="J9" i="2"/>
  <c r="G9" i="2"/>
  <c r="J31" i="2"/>
  <c r="J17" i="2"/>
  <c r="J26" i="2"/>
  <c r="J12" i="2"/>
  <c r="F10" i="2"/>
  <c r="G10" i="2" s="1"/>
  <c r="K11" i="2"/>
  <c r="E10" i="2"/>
  <c r="I10" i="2" s="1"/>
  <c r="F11" i="2" l="1"/>
  <c r="G11" i="2" s="1"/>
  <c r="K12" i="2"/>
  <c r="E11" i="2"/>
  <c r="I11" i="2" s="1"/>
  <c r="K13" i="2" l="1"/>
  <c r="F12" i="2"/>
  <c r="G12" i="2" s="1"/>
  <c r="E12" i="2"/>
  <c r="I12" i="2" s="1"/>
  <c r="K14" i="2" l="1"/>
  <c r="F13" i="2"/>
  <c r="G13" i="2" s="1"/>
  <c r="E13" i="2"/>
  <c r="I13" i="2" s="1"/>
  <c r="K15" i="2" l="1"/>
  <c r="F14" i="2"/>
  <c r="G14" i="2" s="1"/>
  <c r="E14" i="2"/>
  <c r="I14" i="2" s="1"/>
  <c r="K16" i="2" l="1"/>
  <c r="F15" i="2"/>
  <c r="G15" i="2" s="1"/>
  <c r="E15" i="2"/>
  <c r="I15" i="2" s="1"/>
  <c r="K17" i="2" l="1"/>
  <c r="F16" i="2"/>
  <c r="G16" i="2" s="1"/>
  <c r="E16" i="2"/>
  <c r="I16" i="2" s="1"/>
  <c r="K18" i="2" l="1"/>
  <c r="F17" i="2"/>
  <c r="G17" i="2" s="1"/>
  <c r="E17" i="2"/>
  <c r="I17" i="2" s="1"/>
  <c r="K19" i="2" l="1"/>
  <c r="F18" i="2"/>
  <c r="G18" i="2" s="1"/>
  <c r="E18" i="2"/>
  <c r="I18" i="2" s="1"/>
  <c r="K20" i="2" l="1"/>
  <c r="F19" i="2"/>
  <c r="G19" i="2" s="1"/>
  <c r="E19" i="2"/>
  <c r="I19" i="2" s="1"/>
  <c r="K21" i="2" l="1"/>
  <c r="F20" i="2"/>
  <c r="G20" i="2" s="1"/>
  <c r="E20" i="2"/>
  <c r="I20" i="2" s="1"/>
  <c r="K22" i="2" l="1"/>
  <c r="F21" i="2"/>
  <c r="G21" i="2" s="1"/>
  <c r="E21" i="2"/>
  <c r="I21" i="2" s="1"/>
  <c r="K23" i="2" l="1"/>
  <c r="F22" i="2"/>
  <c r="G22" i="2" s="1"/>
  <c r="E22" i="2"/>
  <c r="I22" i="2" s="1"/>
  <c r="F23" i="2" l="1"/>
  <c r="G23" i="2" s="1"/>
  <c r="K24" i="2"/>
  <c r="E23" i="2"/>
  <c r="I23" i="2" s="1"/>
  <c r="F24" i="2" l="1"/>
  <c r="G24" i="2" s="1"/>
  <c r="K25" i="2"/>
  <c r="E24" i="2"/>
  <c r="I24" i="2" s="1"/>
  <c r="K26" i="2" l="1"/>
  <c r="F25" i="2"/>
  <c r="G25" i="2" s="1"/>
  <c r="E25" i="2"/>
  <c r="I25" i="2" s="1"/>
  <c r="K27" i="2" l="1"/>
  <c r="F26" i="2"/>
  <c r="G26" i="2" s="1"/>
  <c r="E26" i="2"/>
  <c r="I26" i="2" s="1"/>
  <c r="K28" i="2" l="1"/>
  <c r="F27" i="2"/>
  <c r="G27" i="2" s="1"/>
  <c r="E27" i="2"/>
  <c r="I27" i="2" s="1"/>
  <c r="K29" i="2" l="1"/>
  <c r="F28" i="2"/>
  <c r="G28" i="2" s="1"/>
  <c r="E28" i="2"/>
  <c r="I28" i="2" s="1"/>
  <c r="K30" i="2" l="1"/>
  <c r="F29" i="2"/>
  <c r="G29" i="2" s="1"/>
  <c r="E29" i="2"/>
  <c r="I29" i="2" s="1"/>
  <c r="K31" i="2" l="1"/>
  <c r="F30" i="2"/>
  <c r="G30" i="2" s="1"/>
  <c r="E30" i="2"/>
  <c r="I30" i="2" s="1"/>
  <c r="K32" i="2" l="1"/>
  <c r="F31" i="2"/>
  <c r="G31" i="2" s="1"/>
  <c r="E31" i="2"/>
  <c r="I31" i="2" s="1"/>
  <c r="K33" i="2" l="1"/>
  <c r="F32" i="2"/>
  <c r="G32" i="2" s="1"/>
  <c r="E32" i="2"/>
  <c r="I32" i="2" s="1"/>
  <c r="K34" i="2" l="1"/>
  <c r="F33" i="2"/>
  <c r="G33" i="2" s="1"/>
  <c r="E33" i="2"/>
  <c r="I33" i="2" s="1"/>
  <c r="K35" i="2" l="1"/>
  <c r="F34" i="2"/>
  <c r="G34" i="2" s="1"/>
  <c r="E34" i="2"/>
  <c r="I34" i="2" s="1"/>
  <c r="K36" i="2" l="1"/>
  <c r="F35" i="2"/>
  <c r="G35" i="2" s="1"/>
  <c r="E35" i="2"/>
  <c r="I35" i="2" s="1"/>
  <c r="K37" i="2" l="1"/>
  <c r="F36" i="2"/>
  <c r="G36" i="2" s="1"/>
  <c r="E36" i="2"/>
  <c r="I36" i="2" s="1"/>
  <c r="F37" i="2" l="1"/>
  <c r="G37" i="2" s="1"/>
  <c r="K38" i="2"/>
  <c r="F38" i="2" s="1"/>
  <c r="G38" i="2" s="1"/>
  <c r="E37" i="2"/>
  <c r="I37" i="2" s="1"/>
  <c r="E38" i="2" l="1"/>
  <c r="I38" i="2" s="1"/>
</calcChain>
</file>

<file path=xl/sharedStrings.xml><?xml version="1.0" encoding="utf-8"?>
<sst xmlns="http://schemas.openxmlformats.org/spreadsheetml/2006/main" count="20" uniqueCount="20">
  <si>
    <t>cap_appreciation_rate</t>
  </si>
  <si>
    <t>yearend_cap_appreciation</t>
  </si>
  <si>
    <t>Annual Rate</t>
  </si>
  <si>
    <t>Years</t>
  </si>
  <si>
    <t>Amount</t>
  </si>
  <si>
    <t>Payment Number</t>
  </si>
  <si>
    <t>Payment</t>
  </si>
  <si>
    <t xml:space="preserve">Principal </t>
  </si>
  <si>
    <t>Interest</t>
  </si>
  <si>
    <t>Balance</t>
  </si>
  <si>
    <t>Payments / Year</t>
  </si>
  <si>
    <t>weekly_payment</t>
  </si>
  <si>
    <t>rental income</t>
  </si>
  <si>
    <t>weekly_yield</t>
  </si>
  <si>
    <t>rental_yield</t>
  </si>
  <si>
    <t>yield_yearly</t>
  </si>
  <si>
    <t>rental growth</t>
  </si>
  <si>
    <t>cashflow</t>
  </si>
  <si>
    <t>net_capital growth</t>
  </si>
  <si>
    <t>cashflow_0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</si>
</sst>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0.000%"/>
    <numFmt numFmtId="168" formatCode="_-&quot;$&quot;* #,##0_-;\-&quot;$&quot;* #,##0_-;_-&quot;$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3" fontId="0" fillId="0" borderId="0" xfId="0" applyNumberFormat="1"/>
    <xf numFmtId="9" fontId="0" fillId="0" borderId="0" xfId="2" applyFont="1"/>
    <xf numFmtId="165" fontId="0" fillId="0" borderId="0" xfId="2" applyNumberFormat="1" applyFont="1"/>
    <xf numFmtId="164" fontId="0" fillId="0" borderId="0" xfId="1" applyNumberFormat="1" applyFont="1" applyAlignment="1">
      <alignment horizontal="left" vertical="center"/>
    </xf>
    <xf numFmtId="44" fontId="0" fillId="0" borderId="0" xfId="3" applyFont="1"/>
    <xf numFmtId="168" fontId="0" fillId="0" borderId="0" xfId="3" applyNumberFormat="1" applyFont="1"/>
    <xf numFmtId="1" fontId="0" fillId="0" borderId="0" xfId="3" applyNumberFormat="1" applyFont="1"/>
    <xf numFmtId="0" fontId="2" fillId="0" borderId="0" xfId="0" applyFont="1"/>
    <xf numFmtId="3" fontId="2" fillId="0" borderId="0" xfId="0" applyNumberFormat="1" applyFont="1"/>
    <xf numFmtId="168" fontId="2" fillId="0" borderId="0" xfId="3" applyNumberFormat="1" applyFont="1"/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1">
    <dxf>
      <font>
        <b val="0"/>
        <i val="0"/>
        <strike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801873618638647E-2"/>
          <c:y val="8.0152671755725186E-2"/>
          <c:w val="0.89644852898437299"/>
          <c:h val="0.85520015627817525"/>
        </c:manualLayout>
      </c:layout>
      <c:barChart>
        <c:barDir val="col"/>
        <c:grouping val="clustered"/>
        <c:varyColors val="0"/>
        <c:ser>
          <c:idx val="6"/>
          <c:order val="6"/>
          <c:tx>
            <c:strRef>
              <c:f>finance!$G$8</c:f>
              <c:strCache>
                <c:ptCount val="1"/>
                <c:pt idx="0">
                  <c:v> cashflow </c:v>
                </c:pt>
              </c:strCache>
            </c:strRef>
          </c:tx>
          <c:spPr>
            <a:solidFill>
              <a:schemeClr val="tx2">
                <a:lumMod val="25000"/>
                <a:lumOff val="75000"/>
                <a:alpha val="50000"/>
              </a:schemeClr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Lit>
              <c:ptCount val="15"/>
              <c:pt idx="0">
                <c:v> $1 </c:v>
              </c:pt>
              <c:pt idx="1">
                <c:v> $2 </c:v>
              </c:pt>
              <c:pt idx="2">
                <c:v> $3 </c:v>
              </c:pt>
              <c:pt idx="3">
                <c:v> $4 </c:v>
              </c:pt>
              <c:pt idx="4">
                <c:v> $5 </c:v>
              </c:pt>
              <c:pt idx="5">
                <c:v> $6 </c:v>
              </c:pt>
              <c:pt idx="6">
                <c:v> $7 </c:v>
              </c:pt>
              <c:pt idx="7">
                <c:v> $8 </c:v>
              </c:pt>
              <c:pt idx="8">
                <c:v> $9 </c:v>
              </c:pt>
              <c:pt idx="9">
                <c:v> $10 </c:v>
              </c:pt>
              <c:pt idx="10">
                <c:v> $11 </c:v>
              </c:pt>
              <c:pt idx="11">
                <c:v> $12 </c:v>
              </c:pt>
              <c:pt idx="12">
                <c:v> $13 </c:v>
              </c:pt>
              <c:pt idx="13">
                <c:v> $14 </c:v>
              </c:pt>
              <c:pt idx="14">
                <c:v> $15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finance!$G$9:$G$38</c15:sqref>
                  </c15:fullRef>
                </c:ext>
              </c:extLst>
              <c:f>finance!$G$9:$G$23</c:f>
              <c:numCache>
                <c:formatCode>_-"$"* #,##0_-;\-"$"* #,##0_-;_-"$"* "-"??_-;_-@_-</c:formatCode>
                <c:ptCount val="15"/>
                <c:pt idx="0">
                  <c:v>-15524.45574502361</c:v>
                </c:pt>
                <c:pt idx="1">
                  <c:v>-14068.45574502361</c:v>
                </c:pt>
                <c:pt idx="2">
                  <c:v>-12510.535745023608</c:v>
                </c:pt>
                <c:pt idx="3">
                  <c:v>-10843.561345023605</c:v>
                </c:pt>
                <c:pt idx="4">
                  <c:v>-9059.8987370236064</c:v>
                </c:pt>
                <c:pt idx="5">
                  <c:v>-7151.3797464636009</c:v>
                </c:pt>
                <c:pt idx="6">
                  <c:v>-5109.2644265643976</c:v>
                </c:pt>
                <c:pt idx="7">
                  <c:v>-2924.2010342722569</c:v>
                </c:pt>
                <c:pt idx="8">
                  <c:v>-586.18320451965701</c:v>
                </c:pt>
                <c:pt idx="9">
                  <c:v>1915.4958733156163</c:v>
                </c:pt>
                <c:pt idx="10">
                  <c:v>4592.29248659937</c:v>
                </c:pt>
                <c:pt idx="11">
                  <c:v>7456.4648628129798</c:v>
                </c:pt>
                <c:pt idx="12">
                  <c:v>10521.129305361545</c:v>
                </c:pt>
                <c:pt idx="13">
                  <c:v>13800.320258888511</c:v>
                </c:pt>
                <c:pt idx="14">
                  <c:v>17309.054579162352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56-4398-A86C-ECCE62D44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09075144"/>
        <c:axId val="509074424"/>
      </c:barChart>
      <c:lineChart>
        <c:grouping val="standard"/>
        <c:varyColors val="0"/>
        <c:ser>
          <c:idx val="7"/>
          <c:order val="7"/>
          <c:tx>
            <c:strRef>
              <c:f>finance!$H$8</c:f>
              <c:strCache>
                <c:ptCount val="1"/>
                <c:pt idx="0">
                  <c:v> yearend_cap_appreciation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Lit>
              <c:ptCount val="15"/>
              <c:pt idx="0">
                <c:v> $1 </c:v>
              </c:pt>
              <c:pt idx="1">
                <c:v> $2 </c:v>
              </c:pt>
              <c:pt idx="2">
                <c:v> $3 </c:v>
              </c:pt>
              <c:pt idx="3">
                <c:v> $4 </c:v>
              </c:pt>
              <c:pt idx="4">
                <c:v> $5 </c:v>
              </c:pt>
              <c:pt idx="5">
                <c:v> $6 </c:v>
              </c:pt>
              <c:pt idx="6">
                <c:v> $7 </c:v>
              </c:pt>
              <c:pt idx="7">
                <c:v> $8 </c:v>
              </c:pt>
              <c:pt idx="8">
                <c:v> $9 </c:v>
              </c:pt>
              <c:pt idx="9">
                <c:v> $10 </c:v>
              </c:pt>
              <c:pt idx="10">
                <c:v> $11 </c:v>
              </c:pt>
              <c:pt idx="11">
                <c:v> $12 </c:v>
              </c:pt>
              <c:pt idx="12">
                <c:v> $13 </c:v>
              </c:pt>
              <c:pt idx="13">
                <c:v> $14 </c:v>
              </c:pt>
              <c:pt idx="14">
                <c:v> $15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finance!$H$9:$H$38</c15:sqref>
                  </c15:fullRef>
                </c:ext>
              </c:extLst>
              <c:f>finance!$H$9:$H$23</c:f>
              <c:numCache>
                <c:formatCode>_-"$"* #,##0_-;\-"$"* #,##0_-;_-"$"* "-"??_-;_-@_-</c:formatCode>
                <c:ptCount val="15"/>
                <c:pt idx="0">
                  <c:v>535000</c:v>
                </c:pt>
                <c:pt idx="1">
                  <c:v>572450</c:v>
                </c:pt>
                <c:pt idx="2">
                  <c:v>612521.5</c:v>
                </c:pt>
                <c:pt idx="3">
                  <c:v>655398.005</c:v>
                </c:pt>
                <c:pt idx="4">
                  <c:v>701275.86535000009</c:v>
                </c:pt>
                <c:pt idx="5">
                  <c:v>750365.1759245001</c:v>
                </c:pt>
                <c:pt idx="6">
                  <c:v>802890.7382392151</c:v>
                </c:pt>
                <c:pt idx="7">
                  <c:v>859093.08991596021</c:v>
                </c:pt>
                <c:pt idx="8">
                  <c:v>919229.60621007753</c:v>
                </c:pt>
                <c:pt idx="9">
                  <c:v>983575.67864478298</c:v>
                </c:pt>
                <c:pt idx="10">
                  <c:v>1052425.9761499178</c:v>
                </c:pt>
                <c:pt idx="11">
                  <c:v>1126095.794480412</c:v>
                </c:pt>
                <c:pt idx="12">
                  <c:v>1204922.500094041</c:v>
                </c:pt>
                <c:pt idx="13">
                  <c:v>1289267.075100624</c:v>
                </c:pt>
                <c:pt idx="14">
                  <c:v>1379515.7703576677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856-4398-A86C-ECCE62D44F1C}"/>
            </c:ext>
          </c:extLst>
        </c:ser>
        <c:ser>
          <c:idx val="8"/>
          <c:order val="8"/>
          <c:tx>
            <c:strRef>
              <c:f>finance!$I$8</c:f>
              <c:strCache>
                <c:ptCount val="1"/>
                <c:pt idx="0">
                  <c:v> net_capital growth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Lit>
              <c:ptCount val="15"/>
              <c:pt idx="0">
                <c:v> $1 </c:v>
              </c:pt>
              <c:pt idx="1">
                <c:v> $2 </c:v>
              </c:pt>
              <c:pt idx="2">
                <c:v> $3 </c:v>
              </c:pt>
              <c:pt idx="3">
                <c:v> $4 </c:v>
              </c:pt>
              <c:pt idx="4">
                <c:v> $5 </c:v>
              </c:pt>
              <c:pt idx="5">
                <c:v> $6 </c:v>
              </c:pt>
              <c:pt idx="6">
                <c:v> $7 </c:v>
              </c:pt>
              <c:pt idx="7">
                <c:v> $8 </c:v>
              </c:pt>
              <c:pt idx="8">
                <c:v> $9 </c:v>
              </c:pt>
              <c:pt idx="9">
                <c:v> $10 </c:v>
              </c:pt>
              <c:pt idx="10">
                <c:v> $11 </c:v>
              </c:pt>
              <c:pt idx="11">
                <c:v> $12 </c:v>
              </c:pt>
              <c:pt idx="12">
                <c:v> $13 </c:v>
              </c:pt>
              <c:pt idx="13">
                <c:v> $14 </c:v>
              </c:pt>
              <c:pt idx="14">
                <c:v> $15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finance!$I$9:$I$38</c15:sqref>
                  </c15:fullRef>
                </c:ext>
              </c:extLst>
              <c:f>finance!$I$9:$I$23</c:f>
              <c:numCache>
                <c:formatCode>_-"$"* #,##0_-;\-"$"* #,##0_-;_-"$"* "-"??_-;_-@_-</c:formatCode>
                <c:ptCount val="15"/>
                <c:pt idx="0">
                  <c:v>41324.455745023617</c:v>
                </c:pt>
                <c:pt idx="1">
                  <c:v>85478.378834748641</c:v>
                </c:pt>
                <c:pt idx="2">
                  <c:v>132656.0373098572</c:v>
                </c:pt>
                <c:pt idx="3">
                  <c:v>183065.07029347226</c:v>
                </c:pt>
                <c:pt idx="4">
                  <c:v>236927.41030610428</c:v>
                </c:pt>
                <c:pt idx="5">
                  <c:v>294480.26932299417</c:v>
                </c:pt>
                <c:pt idx="6">
                  <c:v>355977.19298664242</c:v>
                </c:pt>
                <c:pt idx="7">
                  <c:v>421689.18769325677</c:v>
                </c:pt>
                <c:pt idx="8">
                  <c:v>491905.92559903552</c:v>
                </c:pt>
                <c:pt idx="9">
                  <c:v>566937.03294210206</c:v>
                </c:pt>
                <c:pt idx="10">
                  <c:v>647113.46745009965</c:v>
                </c:pt>
                <c:pt idx="11">
                  <c:v>732788.99100362835</c:v>
                </c:pt>
                <c:pt idx="12">
                  <c:v>824341.74415367399</c:v>
                </c:pt>
                <c:pt idx="13">
                  <c:v>922175.92954885866</c:v>
                </c:pt>
                <c:pt idx="14">
                  <c:v>1026723.61181782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856-4398-A86C-ECCE62D44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9982424"/>
        <c:axId val="73998278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finance!$A$8</c15:sqref>
                        </c15:formulaRef>
                      </c:ext>
                    </c:extLst>
                    <c:strCache>
                      <c:ptCount val="1"/>
                      <c:pt idx="0">
                        <c:v>Payment Number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ullRef>
                          <c15:sqref>finance!$A$9:$A$38</c15:sqref>
                        </c15:fullRef>
                        <c15:formulaRef>
                          <c15:sqref>finance!$A$9:$A$23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856-4398-A86C-ECCE62D44F1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finance!$B$8</c15:sqref>
                        </c15:formulaRef>
                      </c:ext>
                    </c:extLst>
                    <c:strCache>
                      <c:ptCount val="1"/>
                      <c:pt idx="0">
                        <c:v>Payment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finance!$B$9:$B$38</c15:sqref>
                        </c15:fullRef>
                        <c15:formulaRef>
                          <c15:sqref>finance!$B$9:$B$23</c15:sqref>
                        </c15:formulaRef>
                      </c:ext>
                    </c:extLst>
                    <c:numCache>
                      <c:formatCode>#,##0</c:formatCode>
                      <c:ptCount val="15"/>
                      <c:pt idx="0">
                        <c:v>-36324.45574502361</c:v>
                      </c:pt>
                      <c:pt idx="1">
                        <c:v>-36324.45574502361</c:v>
                      </c:pt>
                      <c:pt idx="2">
                        <c:v>-36324.45574502361</c:v>
                      </c:pt>
                      <c:pt idx="3">
                        <c:v>-36324.45574502361</c:v>
                      </c:pt>
                      <c:pt idx="4">
                        <c:v>-36324.45574502361</c:v>
                      </c:pt>
                      <c:pt idx="5">
                        <c:v>-36324.45574502361</c:v>
                      </c:pt>
                      <c:pt idx="6">
                        <c:v>-36324.45574502361</c:v>
                      </c:pt>
                      <c:pt idx="7">
                        <c:v>-36324.45574502361</c:v>
                      </c:pt>
                      <c:pt idx="8">
                        <c:v>-36324.45574502361</c:v>
                      </c:pt>
                      <c:pt idx="9">
                        <c:v>-36324.45574502361</c:v>
                      </c:pt>
                      <c:pt idx="10">
                        <c:v>-36324.45574502361</c:v>
                      </c:pt>
                      <c:pt idx="11">
                        <c:v>-36324.45574502361</c:v>
                      </c:pt>
                      <c:pt idx="12">
                        <c:v>-36324.45574502361</c:v>
                      </c:pt>
                      <c:pt idx="13">
                        <c:v>-36324.45574502361</c:v>
                      </c:pt>
                      <c:pt idx="14">
                        <c:v>-36324.45574502361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856-4398-A86C-ECCE62D44F1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finance!$C$8</c15:sqref>
                        </c15:formulaRef>
                      </c:ext>
                    </c:extLst>
                    <c:strCache>
                      <c:ptCount val="1"/>
                      <c:pt idx="0">
                        <c:v>Principal 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finance!$C$9:$C$38</c15:sqref>
                        </c15:fullRef>
                        <c15:formulaRef>
                          <c15:sqref>finance!$C$9:$C$23</c15:sqref>
                        </c15:formulaRef>
                      </c:ext>
                    </c:extLst>
                    <c:numCache>
                      <c:formatCode>#,##0</c:formatCode>
                      <c:ptCount val="15"/>
                      <c:pt idx="0">
                        <c:v>-6324.4557450236143</c:v>
                      </c:pt>
                      <c:pt idx="1">
                        <c:v>-6703.9230897250318</c:v>
                      </c:pt>
                      <c:pt idx="2">
                        <c:v>-7106.1584751085329</c:v>
                      </c:pt>
                      <c:pt idx="3">
                        <c:v>-7532.5279836150457</c:v>
                      </c:pt>
                      <c:pt idx="4">
                        <c:v>-7984.4796626319485</c:v>
                      </c:pt>
                      <c:pt idx="5">
                        <c:v>-8463.5484423898633</c:v>
                      </c:pt>
                      <c:pt idx="6">
                        <c:v>-8971.3613489332565</c:v>
                      </c:pt>
                      <c:pt idx="7">
                        <c:v>-9509.6430298692521</c:v>
                      </c:pt>
                      <c:pt idx="8">
                        <c:v>-10080.221611661404</c:v>
                      </c:pt>
                      <c:pt idx="9">
                        <c:v>-10685.034908361091</c:v>
                      </c:pt>
                      <c:pt idx="10">
                        <c:v>-11326.137002862755</c:v>
                      </c:pt>
                      <c:pt idx="11">
                        <c:v>-12005.705223034522</c:v>
                      </c:pt>
                      <c:pt idx="12">
                        <c:v>-12726.047536416592</c:v>
                      </c:pt>
                      <c:pt idx="13">
                        <c:v>-13489.610388601586</c:v>
                      </c:pt>
                      <c:pt idx="14">
                        <c:v>-14298.987011917683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856-4398-A86C-ECCE62D44F1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finance!$D$8</c15:sqref>
                        </c15:formulaRef>
                      </c:ext>
                    </c:extLst>
                    <c:strCache>
                      <c:ptCount val="1"/>
                      <c:pt idx="0">
                        <c:v>Interest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finance!$D$9:$D$38</c15:sqref>
                        </c15:fullRef>
                        <c15:formulaRef>
                          <c15:sqref>finance!$D$9:$D$23</c15:sqref>
                        </c15:formulaRef>
                      </c:ext>
                    </c:extLst>
                    <c:numCache>
                      <c:formatCode>#,##0</c:formatCode>
                      <c:ptCount val="15"/>
                      <c:pt idx="0">
                        <c:v>-30000.000000000004</c:v>
                      </c:pt>
                      <c:pt idx="1">
                        <c:v>-29620.532655298583</c:v>
                      </c:pt>
                      <c:pt idx="2">
                        <c:v>-29218.297269915078</c:v>
                      </c:pt>
                      <c:pt idx="3">
                        <c:v>-28791.927761408566</c:v>
                      </c:pt>
                      <c:pt idx="4">
                        <c:v>-28339.976082391666</c:v>
                      </c:pt>
                      <c:pt idx="5">
                        <c:v>-27860.90730263375</c:v>
                      </c:pt>
                      <c:pt idx="6">
                        <c:v>-27353.094396090357</c:v>
                      </c:pt>
                      <c:pt idx="7">
                        <c:v>-26814.812715154363</c:v>
                      </c:pt>
                      <c:pt idx="8">
                        <c:v>-26244.23413336221</c:v>
                      </c:pt>
                      <c:pt idx="9">
                        <c:v>-25639.420836662524</c:v>
                      </c:pt>
                      <c:pt idx="10">
                        <c:v>-24998.318742160856</c:v>
                      </c:pt>
                      <c:pt idx="11">
                        <c:v>-24318.750521989092</c:v>
                      </c:pt>
                      <c:pt idx="12">
                        <c:v>-23598.408208607023</c:v>
                      </c:pt>
                      <c:pt idx="13">
                        <c:v>-22834.845356422033</c:v>
                      </c:pt>
                      <c:pt idx="14">
                        <c:v>-22025.468733105929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1856-4398-A86C-ECCE62D44F1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finance!$E$8</c15:sqref>
                        </c15:formulaRef>
                      </c:ext>
                    </c:extLst>
                    <c:strCache>
                      <c:ptCount val="1"/>
                      <c:pt idx="0">
                        <c:v>Balance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finance!$E$9:$E$38</c15:sqref>
                        </c15:fullRef>
                        <c15:formulaRef>
                          <c15:sqref>finance!$E$9:$E$23</c15:sqref>
                        </c15:formulaRef>
                      </c:ext>
                    </c:extLst>
                    <c:numCache>
                      <c:formatCode>#,##0</c:formatCode>
                      <c:ptCount val="15"/>
                      <c:pt idx="0">
                        <c:v>493675.54425497638</c:v>
                      </c:pt>
                      <c:pt idx="1">
                        <c:v>486971.62116525136</c:v>
                      </c:pt>
                      <c:pt idx="2">
                        <c:v>479865.4626901428</c:v>
                      </c:pt>
                      <c:pt idx="3">
                        <c:v>472332.93470652774</c:v>
                      </c:pt>
                      <c:pt idx="4">
                        <c:v>464348.45504389581</c:v>
                      </c:pt>
                      <c:pt idx="5">
                        <c:v>455884.90660150594</c:v>
                      </c:pt>
                      <c:pt idx="6">
                        <c:v>446913.54525257269</c:v>
                      </c:pt>
                      <c:pt idx="7">
                        <c:v>437403.90222270344</c:v>
                      </c:pt>
                      <c:pt idx="8">
                        <c:v>427323.68061104201</c:v>
                      </c:pt>
                      <c:pt idx="9">
                        <c:v>416638.64570268092</c:v>
                      </c:pt>
                      <c:pt idx="10">
                        <c:v>405312.50869981817</c:v>
                      </c:pt>
                      <c:pt idx="11">
                        <c:v>393306.80347678362</c:v>
                      </c:pt>
                      <c:pt idx="12">
                        <c:v>380580.755940367</c:v>
                      </c:pt>
                      <c:pt idx="13">
                        <c:v>367091.1455517654</c:v>
                      </c:pt>
                      <c:pt idx="14">
                        <c:v>352792.1585398477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1856-4398-A86C-ECCE62D44F1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finance!$F$8</c15:sqref>
                        </c15:formulaRef>
                      </c:ext>
                    </c:extLst>
                    <c:strCache>
                      <c:ptCount val="1"/>
                      <c:pt idx="0">
                        <c:v>yield_yearly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finance!$F$9:$F$38</c15:sqref>
                        </c15:fullRef>
                        <c15:formulaRef>
                          <c15:sqref>finance!$F$9:$F$23</c15:sqref>
                        </c15:formulaRef>
                      </c:ext>
                    </c:extLst>
                    <c:numCache>
                      <c:formatCode>#,##0</c:formatCode>
                      <c:ptCount val="15"/>
                      <c:pt idx="0">
                        <c:v>20800</c:v>
                      </c:pt>
                      <c:pt idx="1">
                        <c:v>22256</c:v>
                      </c:pt>
                      <c:pt idx="2">
                        <c:v>23813.920000000002</c:v>
                      </c:pt>
                      <c:pt idx="3">
                        <c:v>25480.894400000005</c:v>
                      </c:pt>
                      <c:pt idx="4">
                        <c:v>27264.557008000003</c:v>
                      </c:pt>
                      <c:pt idx="5">
                        <c:v>29173.075998560009</c:v>
                      </c:pt>
                      <c:pt idx="6">
                        <c:v>31215.191318459212</c:v>
                      </c:pt>
                      <c:pt idx="7">
                        <c:v>33400.254710751353</c:v>
                      </c:pt>
                      <c:pt idx="8">
                        <c:v>35738.272540503953</c:v>
                      </c:pt>
                      <c:pt idx="9">
                        <c:v>38239.951618339226</c:v>
                      </c:pt>
                      <c:pt idx="10">
                        <c:v>40916.74823162298</c:v>
                      </c:pt>
                      <c:pt idx="11">
                        <c:v>43780.92060783659</c:v>
                      </c:pt>
                      <c:pt idx="12">
                        <c:v>46845.585050385154</c:v>
                      </c:pt>
                      <c:pt idx="13">
                        <c:v>50124.77600391212</c:v>
                      </c:pt>
                      <c:pt idx="14">
                        <c:v>53633.510324185962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1856-4398-A86C-ECCE62D44F1C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9"/>
          <c:order val="9"/>
          <c:tx>
            <c:strRef>
              <c:f>finance!$L$8</c:f>
              <c:strCache>
                <c:ptCount val="1"/>
                <c:pt idx="0">
                  <c:v>cashflow_0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Lit>
              <c:ptCount val="15"/>
              <c:pt idx="0">
                <c:v> 1 </c:v>
              </c:pt>
              <c:pt idx="1">
                <c:v> 2 </c:v>
              </c:pt>
              <c:pt idx="2">
                <c:v> 3 </c:v>
              </c:pt>
              <c:pt idx="3">
                <c:v> 4 </c:v>
              </c:pt>
              <c:pt idx="4">
                <c:v> 5 </c:v>
              </c:pt>
              <c:pt idx="5">
                <c:v> 6 </c:v>
              </c:pt>
              <c:pt idx="6">
                <c:v> 7 </c:v>
              </c:pt>
              <c:pt idx="7">
                <c:v> 8 </c:v>
              </c:pt>
              <c:pt idx="8">
                <c:v> 9 </c:v>
              </c:pt>
              <c:pt idx="9">
                <c:v> 10 </c:v>
              </c:pt>
              <c:pt idx="10">
                <c:v> 11 </c:v>
              </c:pt>
              <c:pt idx="11">
                <c:v> 12 </c:v>
              </c:pt>
              <c:pt idx="12">
                <c:v> 13 </c:v>
              </c:pt>
              <c:pt idx="13">
                <c:v> 14 </c:v>
              </c:pt>
              <c:pt idx="14">
                <c:v> 15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finance!$L$9:$L$38</c15:sqref>
                  </c15:fullRef>
                </c:ext>
              </c:extLst>
              <c:f>finance!$L$9:$L$23</c:f>
              <c:numCache>
                <c:formatCode>_-* #,##0_-;\-* #,##0_-;_-* "-"??_-;_-@_-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856-4398-A86C-ECCE62D44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9075144"/>
        <c:axId val="509074424"/>
      </c:lineChart>
      <c:catAx>
        <c:axId val="739982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982784"/>
        <c:crosses val="autoZero"/>
        <c:auto val="1"/>
        <c:lblAlgn val="ctr"/>
        <c:lblOffset val="100"/>
        <c:noMultiLvlLbl val="0"/>
      </c:catAx>
      <c:valAx>
        <c:axId val="73998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982424"/>
        <c:crosses val="autoZero"/>
        <c:crossBetween val="between"/>
      </c:valAx>
      <c:valAx>
        <c:axId val="509074424"/>
        <c:scaling>
          <c:orientation val="minMax"/>
        </c:scaling>
        <c:delete val="0"/>
        <c:axPos val="r"/>
        <c:numFmt formatCode="_-&quot;$&quot;* #,##0_-;\-&quot;$&quot;* #,##0_-;_-&quot;$&quot;* &quot;-&quot;??_-;_-@_-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075144"/>
        <c:crosses val="max"/>
        <c:crossBetween val="between"/>
      </c:valAx>
      <c:catAx>
        <c:axId val="509075144"/>
        <c:scaling>
          <c:orientation val="minMax"/>
        </c:scaling>
        <c:delete val="1"/>
        <c:axPos val="b"/>
        <c:majorTickMark val="out"/>
        <c:minorTickMark val="none"/>
        <c:tickLblPos val="nextTo"/>
        <c:crossAx val="50907442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0.11088057574383105"/>
          <c:y val="8.0188066395467564E-2"/>
          <c:w val="0.25702033738565722"/>
          <c:h val="0.155328321168773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974090</xdr:colOff>
      <xdr:row>22</xdr:row>
      <xdr:rowOff>53975</xdr:rowOff>
    </xdr:from>
    <xdr:to>
      <xdr:col>20</xdr:col>
      <xdr:colOff>235584</xdr:colOff>
      <xdr:row>46</xdr:row>
      <xdr:rowOff>60326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8FF866-93B7-ACF4-0B54-4B07D85FF1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2527A-3BE5-4BA5-A375-284826528062}">
  <dimension ref="A1:Q43"/>
  <sheetViews>
    <sheetView tabSelected="1" zoomScale="75" zoomScaleNormal="75" workbookViewId="0">
      <selection activeCell="E5" sqref="E5"/>
    </sheetView>
  </sheetViews>
  <sheetFormatPr defaultRowHeight="14.4" x14ac:dyDescent="0.3"/>
  <cols>
    <col min="1" max="1" width="15.109375" customWidth="1"/>
    <col min="2" max="3" width="11.77734375" bestFit="1" customWidth="1"/>
    <col min="4" max="4" width="19.44140625" bestFit="1" customWidth="1"/>
    <col min="5" max="5" width="12.88671875" bestFit="1" customWidth="1"/>
    <col min="6" max="6" width="12.88671875" customWidth="1"/>
    <col min="7" max="7" width="12.33203125" style="8" bestFit="1" customWidth="1"/>
    <col min="8" max="8" width="17.33203125" style="8" customWidth="1"/>
    <col min="9" max="9" width="14.44140625" style="8" customWidth="1"/>
    <col min="10" max="10" width="11.6640625" customWidth="1"/>
    <col min="11" max="11" width="10.5546875" customWidth="1"/>
    <col min="12" max="12" width="9.5546875" customWidth="1"/>
    <col min="13" max="16" width="9.5546875" bestFit="1" customWidth="1"/>
    <col min="17" max="17" width="11.21875" bestFit="1" customWidth="1"/>
  </cols>
  <sheetData>
    <row r="1" spans="1:17" x14ac:dyDescent="0.3">
      <c r="A1" t="s">
        <v>2</v>
      </c>
      <c r="B1" s="5">
        <v>0.06</v>
      </c>
      <c r="D1" t="s">
        <v>0</v>
      </c>
      <c r="E1" s="4">
        <v>7.0000000000000007E-2</v>
      </c>
      <c r="F1" s="4"/>
    </row>
    <row r="2" spans="1:17" x14ac:dyDescent="0.3">
      <c r="A2" t="s">
        <v>10</v>
      </c>
      <c r="B2">
        <v>1</v>
      </c>
      <c r="D2" t="s">
        <v>12</v>
      </c>
      <c r="E2" s="7">
        <v>500</v>
      </c>
      <c r="F2" s="7"/>
    </row>
    <row r="3" spans="1:17" x14ac:dyDescent="0.3">
      <c r="A3" t="s">
        <v>3</v>
      </c>
      <c r="B3">
        <v>30</v>
      </c>
      <c r="D3" s="6" t="s">
        <v>14</v>
      </c>
      <c r="E3" s="4">
        <v>0.8</v>
      </c>
      <c r="F3" s="4"/>
    </row>
    <row r="4" spans="1:17" x14ac:dyDescent="0.3">
      <c r="A4" t="s">
        <v>4</v>
      </c>
      <c r="B4" s="2">
        <v>500000</v>
      </c>
      <c r="D4" t="s">
        <v>16</v>
      </c>
      <c r="E4" s="4">
        <v>7.0000000000000007E-2</v>
      </c>
    </row>
    <row r="8" spans="1:17" s="10" customFormat="1" x14ac:dyDescent="0.3">
      <c r="A8" s="10" t="s">
        <v>5</v>
      </c>
      <c r="B8" s="11" t="s">
        <v>6</v>
      </c>
      <c r="C8" s="11" t="s">
        <v>7</v>
      </c>
      <c r="D8" s="11" t="s">
        <v>8</v>
      </c>
      <c r="E8" s="11" t="s">
        <v>9</v>
      </c>
      <c r="F8" s="11" t="s">
        <v>15</v>
      </c>
      <c r="G8" s="12" t="s">
        <v>17</v>
      </c>
      <c r="H8" s="12" t="s">
        <v>1</v>
      </c>
      <c r="I8" s="12" t="s">
        <v>18</v>
      </c>
      <c r="J8" s="11" t="s">
        <v>11</v>
      </c>
      <c r="K8" s="11" t="s">
        <v>13</v>
      </c>
      <c r="L8" s="10" t="s">
        <v>19</v>
      </c>
    </row>
    <row r="9" spans="1:17" x14ac:dyDescent="0.3">
      <c r="A9">
        <v>1</v>
      </c>
      <c r="B9" s="3">
        <f t="shared" ref="B9:B38" si="0">PMT(Annual_Rate/Payments___Year,Years*Payments___Year,Amount)</f>
        <v>-36324.45574502361</v>
      </c>
      <c r="C9" s="3">
        <f t="shared" ref="C9:C38" si="1">PPMT(Annual_Rate/Payments___Year,A9,Years*Payments___Year,Amount)</f>
        <v>-6324.4557450236143</v>
      </c>
      <c r="D9" s="3">
        <f t="shared" ref="D9:D38" si="2">IPMT(Annual_Rate/Payments___Year,A9,Years*Payments___Year,Amount)</f>
        <v>-30000.000000000004</v>
      </c>
      <c r="E9" s="3">
        <f>Amount+C9</f>
        <v>493675.54425497638</v>
      </c>
      <c r="F9" s="3">
        <f>52*K9</f>
        <v>20800</v>
      </c>
      <c r="G9" s="8">
        <f>B9+F9</f>
        <v>-15524.45574502361</v>
      </c>
      <c r="H9" s="8">
        <f>Amount*(1+cap_appreciation_rate)</f>
        <v>535000</v>
      </c>
      <c r="I9" s="8">
        <f>H9-E9</f>
        <v>41324.455745023617</v>
      </c>
      <c r="J9" s="1">
        <f>B9/52</f>
        <v>-698.54722586583864</v>
      </c>
      <c r="K9">
        <f>rental_income*rental_yield</f>
        <v>400</v>
      </c>
      <c r="L9" s="2">
        <v>0</v>
      </c>
      <c r="M9" s="2"/>
      <c r="N9" s="2"/>
      <c r="O9" s="2"/>
      <c r="P9" s="2"/>
      <c r="Q9" s="2"/>
    </row>
    <row r="10" spans="1:17" x14ac:dyDescent="0.3">
      <c r="A10">
        <v>2</v>
      </c>
      <c r="B10" s="3">
        <f t="shared" si="0"/>
        <v>-36324.45574502361</v>
      </c>
      <c r="C10" s="3">
        <f t="shared" si="1"/>
        <v>-6703.9230897250318</v>
      </c>
      <c r="D10" s="3">
        <f t="shared" si="2"/>
        <v>-29620.532655298583</v>
      </c>
      <c r="E10" s="3">
        <f>E9+C10</f>
        <v>486971.62116525136</v>
      </c>
      <c r="F10" s="3">
        <f t="shared" ref="F10:F38" si="3">52*K10</f>
        <v>22256</v>
      </c>
      <c r="G10" s="8">
        <f>B10+F10</f>
        <v>-14068.45574502361</v>
      </c>
      <c r="H10" s="8">
        <f>H9*(1+cap_appreciation_rate)</f>
        <v>572450</v>
      </c>
      <c r="I10" s="8">
        <f t="shared" ref="I10:I38" si="4">H10-E10</f>
        <v>85478.378834748641</v>
      </c>
      <c r="J10" s="1">
        <f>B10/52</f>
        <v>-698.54722586583864</v>
      </c>
      <c r="K10" s="9">
        <f>K9*(1+rental_growth)</f>
        <v>428</v>
      </c>
      <c r="L10" s="2">
        <v>0</v>
      </c>
      <c r="M10" s="2"/>
      <c r="N10" s="2"/>
      <c r="O10" s="2"/>
      <c r="P10" s="2"/>
      <c r="Q10" s="2"/>
    </row>
    <row r="11" spans="1:17" x14ac:dyDescent="0.3">
      <c r="A11">
        <v>3</v>
      </c>
      <c r="B11" s="3">
        <f t="shared" si="0"/>
        <v>-36324.45574502361</v>
      </c>
      <c r="C11" s="3">
        <f t="shared" si="1"/>
        <v>-7106.1584751085329</v>
      </c>
      <c r="D11" s="3">
        <f t="shared" si="2"/>
        <v>-29218.297269915078</v>
      </c>
      <c r="E11" s="3">
        <f t="shared" ref="E11:E38" si="5">E10+C11</f>
        <v>479865.4626901428</v>
      </c>
      <c r="F11" s="3">
        <f t="shared" si="3"/>
        <v>23813.920000000002</v>
      </c>
      <c r="G11" s="8">
        <f>B11+F11</f>
        <v>-12510.535745023608</v>
      </c>
      <c r="H11" s="8">
        <f>H10*(1+cap_appreciation_rate)</f>
        <v>612521.5</v>
      </c>
      <c r="I11" s="8">
        <f t="shared" si="4"/>
        <v>132656.0373098572</v>
      </c>
      <c r="J11" s="1">
        <f>B11/52</f>
        <v>-698.54722586583864</v>
      </c>
      <c r="K11" s="9">
        <f>K10*(1+rental_growth)</f>
        <v>457.96000000000004</v>
      </c>
      <c r="L11" s="2">
        <v>0</v>
      </c>
      <c r="M11" s="2"/>
      <c r="N11" s="2"/>
      <c r="O11" s="2"/>
      <c r="P11" s="2"/>
      <c r="Q11" s="2"/>
    </row>
    <row r="12" spans="1:17" x14ac:dyDescent="0.3">
      <c r="A12">
        <v>4</v>
      </c>
      <c r="B12" s="3">
        <f t="shared" si="0"/>
        <v>-36324.45574502361</v>
      </c>
      <c r="C12" s="3">
        <f t="shared" si="1"/>
        <v>-7532.5279836150457</v>
      </c>
      <c r="D12" s="3">
        <f t="shared" si="2"/>
        <v>-28791.927761408566</v>
      </c>
      <c r="E12" s="3">
        <f t="shared" si="5"/>
        <v>472332.93470652774</v>
      </c>
      <c r="F12" s="3">
        <f t="shared" si="3"/>
        <v>25480.894400000005</v>
      </c>
      <c r="G12" s="8">
        <f>B12+F12</f>
        <v>-10843.561345023605</v>
      </c>
      <c r="H12" s="8">
        <f>H11*(1+cap_appreciation_rate)</f>
        <v>655398.005</v>
      </c>
      <c r="I12" s="8">
        <f t="shared" si="4"/>
        <v>183065.07029347226</v>
      </c>
      <c r="J12" s="1">
        <f>B12/52</f>
        <v>-698.54722586583864</v>
      </c>
      <c r="K12" s="9">
        <f>K11*(1+rental_growth)</f>
        <v>490.01720000000006</v>
      </c>
      <c r="L12" s="2">
        <v>0</v>
      </c>
      <c r="M12" s="2"/>
      <c r="N12" s="2"/>
      <c r="O12" s="2"/>
      <c r="P12" s="2"/>
      <c r="Q12" s="2"/>
    </row>
    <row r="13" spans="1:17" x14ac:dyDescent="0.3">
      <c r="A13">
        <v>5</v>
      </c>
      <c r="B13" s="3">
        <f t="shared" si="0"/>
        <v>-36324.45574502361</v>
      </c>
      <c r="C13" s="3">
        <f t="shared" si="1"/>
        <v>-7984.4796626319485</v>
      </c>
      <c r="D13" s="3">
        <f t="shared" si="2"/>
        <v>-28339.976082391666</v>
      </c>
      <c r="E13" s="3">
        <f t="shared" si="5"/>
        <v>464348.45504389581</v>
      </c>
      <c r="F13" s="3">
        <f t="shared" si="3"/>
        <v>27264.557008000003</v>
      </c>
      <c r="G13" s="8">
        <f>B13+F13</f>
        <v>-9059.8987370236064</v>
      </c>
      <c r="H13" s="8">
        <f>H12*(1+cap_appreciation_rate)</f>
        <v>701275.86535000009</v>
      </c>
      <c r="I13" s="8">
        <f t="shared" si="4"/>
        <v>236927.41030610428</v>
      </c>
      <c r="J13" s="1">
        <f>B13/52</f>
        <v>-698.54722586583864</v>
      </c>
      <c r="K13" s="9">
        <f>K12*(1+rental_growth)</f>
        <v>524.3184040000001</v>
      </c>
      <c r="L13" s="2">
        <v>0</v>
      </c>
      <c r="M13" s="2"/>
      <c r="N13" s="2"/>
      <c r="O13" s="2"/>
      <c r="P13" s="2"/>
      <c r="Q13" s="2"/>
    </row>
    <row r="14" spans="1:17" x14ac:dyDescent="0.3">
      <c r="A14">
        <v>6</v>
      </c>
      <c r="B14" s="3">
        <f t="shared" si="0"/>
        <v>-36324.45574502361</v>
      </c>
      <c r="C14" s="3">
        <f t="shared" si="1"/>
        <v>-8463.5484423898633</v>
      </c>
      <c r="D14" s="3">
        <f t="shared" si="2"/>
        <v>-27860.90730263375</v>
      </c>
      <c r="E14" s="3">
        <f t="shared" si="5"/>
        <v>455884.90660150594</v>
      </c>
      <c r="F14" s="3">
        <f t="shared" si="3"/>
        <v>29173.075998560009</v>
      </c>
      <c r="G14" s="8">
        <f>B14+F14</f>
        <v>-7151.3797464636009</v>
      </c>
      <c r="H14" s="8">
        <f>H13*(1+cap_appreciation_rate)</f>
        <v>750365.1759245001</v>
      </c>
      <c r="I14" s="8">
        <f t="shared" si="4"/>
        <v>294480.26932299417</v>
      </c>
      <c r="J14" s="1">
        <f>B14/52</f>
        <v>-698.54722586583864</v>
      </c>
      <c r="K14" s="9">
        <f>K13*(1+rental_growth)</f>
        <v>561.02069228000016</v>
      </c>
      <c r="L14" s="2">
        <v>0</v>
      </c>
      <c r="M14" s="2"/>
      <c r="N14" s="2"/>
      <c r="O14" s="2"/>
      <c r="P14" s="2"/>
      <c r="Q14" s="2"/>
    </row>
    <row r="15" spans="1:17" x14ac:dyDescent="0.3">
      <c r="A15">
        <v>7</v>
      </c>
      <c r="B15" s="3">
        <f t="shared" si="0"/>
        <v>-36324.45574502361</v>
      </c>
      <c r="C15" s="3">
        <f t="shared" si="1"/>
        <v>-8971.3613489332565</v>
      </c>
      <c r="D15" s="3">
        <f t="shared" si="2"/>
        <v>-27353.094396090357</v>
      </c>
      <c r="E15" s="3">
        <f t="shared" si="5"/>
        <v>446913.54525257269</v>
      </c>
      <c r="F15" s="3">
        <f t="shared" si="3"/>
        <v>31215.191318459212</v>
      </c>
      <c r="G15" s="8">
        <f>B15+F15</f>
        <v>-5109.2644265643976</v>
      </c>
      <c r="H15" s="8">
        <f>H14*(1+cap_appreciation_rate)</f>
        <v>802890.7382392151</v>
      </c>
      <c r="I15" s="8">
        <f t="shared" si="4"/>
        <v>355977.19298664242</v>
      </c>
      <c r="J15" s="1">
        <f>B15/52</f>
        <v>-698.54722586583864</v>
      </c>
      <c r="K15" s="9">
        <f>K14*(1+rental_growth)</f>
        <v>600.2921407396002</v>
      </c>
      <c r="L15" s="2">
        <v>0</v>
      </c>
      <c r="M15" s="2"/>
      <c r="N15" s="2"/>
      <c r="O15" s="2"/>
      <c r="P15" s="2"/>
      <c r="Q15" s="2"/>
    </row>
    <row r="16" spans="1:17" x14ac:dyDescent="0.3">
      <c r="A16">
        <v>8</v>
      </c>
      <c r="B16" s="3">
        <f t="shared" si="0"/>
        <v>-36324.45574502361</v>
      </c>
      <c r="C16" s="3">
        <f t="shared" si="1"/>
        <v>-9509.6430298692521</v>
      </c>
      <c r="D16" s="3">
        <f t="shared" si="2"/>
        <v>-26814.812715154363</v>
      </c>
      <c r="E16" s="3">
        <f t="shared" si="5"/>
        <v>437403.90222270344</v>
      </c>
      <c r="F16" s="3">
        <f t="shared" si="3"/>
        <v>33400.254710751353</v>
      </c>
      <c r="G16" s="8">
        <f>B16+F16</f>
        <v>-2924.2010342722569</v>
      </c>
      <c r="H16" s="8">
        <f>H15*(1+cap_appreciation_rate)</f>
        <v>859093.08991596021</v>
      </c>
      <c r="I16" s="8">
        <f t="shared" si="4"/>
        <v>421689.18769325677</v>
      </c>
      <c r="J16" s="1">
        <f>B16/52</f>
        <v>-698.54722586583864</v>
      </c>
      <c r="K16" s="9">
        <f>K15*(1+rental_growth)</f>
        <v>642.31259059137221</v>
      </c>
      <c r="L16" s="2">
        <v>0</v>
      </c>
      <c r="M16" s="2"/>
      <c r="N16" s="2"/>
      <c r="O16" s="2"/>
      <c r="P16" s="2"/>
      <c r="Q16" s="2"/>
    </row>
    <row r="17" spans="1:17" x14ac:dyDescent="0.3">
      <c r="A17">
        <v>9</v>
      </c>
      <c r="B17" s="3">
        <f t="shared" si="0"/>
        <v>-36324.45574502361</v>
      </c>
      <c r="C17" s="3">
        <f t="shared" si="1"/>
        <v>-10080.221611661404</v>
      </c>
      <c r="D17" s="3">
        <f t="shared" si="2"/>
        <v>-26244.23413336221</v>
      </c>
      <c r="E17" s="3">
        <f t="shared" si="5"/>
        <v>427323.68061104201</v>
      </c>
      <c r="F17" s="3">
        <f t="shared" si="3"/>
        <v>35738.272540503953</v>
      </c>
      <c r="G17" s="8">
        <f>B17+F17</f>
        <v>-586.18320451965701</v>
      </c>
      <c r="H17" s="8">
        <f>H16*(1+cap_appreciation_rate)</f>
        <v>919229.60621007753</v>
      </c>
      <c r="I17" s="8">
        <f t="shared" si="4"/>
        <v>491905.92559903552</v>
      </c>
      <c r="J17" s="1">
        <f>B17/52</f>
        <v>-698.54722586583864</v>
      </c>
      <c r="K17" s="9">
        <f>K16*(1+rental_growth)</f>
        <v>687.27447193276828</v>
      </c>
      <c r="L17" s="2">
        <v>0</v>
      </c>
      <c r="M17" s="2"/>
      <c r="N17" s="2"/>
      <c r="O17" s="2"/>
      <c r="P17" s="2"/>
      <c r="Q17" s="2"/>
    </row>
    <row r="18" spans="1:17" x14ac:dyDescent="0.3">
      <c r="A18">
        <v>10</v>
      </c>
      <c r="B18" s="3">
        <f t="shared" si="0"/>
        <v>-36324.45574502361</v>
      </c>
      <c r="C18" s="3">
        <f t="shared" si="1"/>
        <v>-10685.034908361091</v>
      </c>
      <c r="D18" s="3">
        <f t="shared" si="2"/>
        <v>-25639.420836662524</v>
      </c>
      <c r="E18" s="3">
        <f t="shared" si="5"/>
        <v>416638.64570268092</v>
      </c>
      <c r="F18" s="3">
        <f t="shared" si="3"/>
        <v>38239.951618339226</v>
      </c>
      <c r="G18" s="8">
        <f>B18+F18</f>
        <v>1915.4958733156163</v>
      </c>
      <c r="H18" s="8">
        <f>H17*(1+cap_appreciation_rate)</f>
        <v>983575.67864478298</v>
      </c>
      <c r="I18" s="8">
        <f t="shared" si="4"/>
        <v>566937.03294210206</v>
      </c>
      <c r="J18" s="1">
        <f>B18/52</f>
        <v>-698.54722586583864</v>
      </c>
      <c r="K18" s="9">
        <f>K17*(1+rental_growth)</f>
        <v>735.38368496806208</v>
      </c>
      <c r="L18" s="2">
        <v>0</v>
      </c>
      <c r="M18" s="2"/>
      <c r="N18" s="2"/>
      <c r="O18" s="2"/>
      <c r="P18" s="2"/>
      <c r="Q18" s="2"/>
    </row>
    <row r="19" spans="1:17" x14ac:dyDescent="0.3">
      <c r="A19">
        <v>11</v>
      </c>
      <c r="B19" s="3">
        <f t="shared" si="0"/>
        <v>-36324.45574502361</v>
      </c>
      <c r="C19" s="3">
        <f t="shared" si="1"/>
        <v>-11326.137002862755</v>
      </c>
      <c r="D19" s="3">
        <f t="shared" si="2"/>
        <v>-24998.318742160856</v>
      </c>
      <c r="E19" s="3">
        <f t="shared" si="5"/>
        <v>405312.50869981817</v>
      </c>
      <c r="F19" s="3">
        <f t="shared" si="3"/>
        <v>40916.74823162298</v>
      </c>
      <c r="G19" s="8">
        <f>B19+F19</f>
        <v>4592.29248659937</v>
      </c>
      <c r="H19" s="8">
        <f>H18*(1+cap_appreciation_rate)</f>
        <v>1052425.9761499178</v>
      </c>
      <c r="I19" s="8">
        <f t="shared" si="4"/>
        <v>647113.46745009965</v>
      </c>
      <c r="J19" s="1">
        <f>B19/52</f>
        <v>-698.54722586583864</v>
      </c>
      <c r="K19" s="9">
        <f>K18*(1+rental_growth)</f>
        <v>786.8605429158265</v>
      </c>
      <c r="L19" s="2">
        <v>0</v>
      </c>
      <c r="M19" s="2"/>
      <c r="N19" s="2"/>
      <c r="O19" s="2"/>
      <c r="P19" s="2"/>
      <c r="Q19" s="2"/>
    </row>
    <row r="20" spans="1:17" x14ac:dyDescent="0.3">
      <c r="A20">
        <v>12</v>
      </c>
      <c r="B20" s="3">
        <f t="shared" si="0"/>
        <v>-36324.45574502361</v>
      </c>
      <c r="C20" s="3">
        <f t="shared" si="1"/>
        <v>-12005.705223034522</v>
      </c>
      <c r="D20" s="3">
        <f t="shared" si="2"/>
        <v>-24318.750521989092</v>
      </c>
      <c r="E20" s="3">
        <f t="shared" si="5"/>
        <v>393306.80347678362</v>
      </c>
      <c r="F20" s="3">
        <f t="shared" si="3"/>
        <v>43780.92060783659</v>
      </c>
      <c r="G20" s="8">
        <f>B20+F20</f>
        <v>7456.4648628129798</v>
      </c>
      <c r="H20" s="8">
        <f>H19*(1+cap_appreciation_rate)</f>
        <v>1126095.794480412</v>
      </c>
      <c r="I20" s="8">
        <f t="shared" si="4"/>
        <v>732788.99100362835</v>
      </c>
      <c r="J20" s="1">
        <f>B20/52</f>
        <v>-698.54722586583864</v>
      </c>
      <c r="K20" s="9">
        <f>K19*(1+rental_growth)</f>
        <v>841.94078091993435</v>
      </c>
      <c r="L20" s="2">
        <v>0</v>
      </c>
      <c r="M20" s="2"/>
      <c r="N20" s="2"/>
      <c r="O20" s="2"/>
      <c r="P20" s="2"/>
      <c r="Q20" s="2"/>
    </row>
    <row r="21" spans="1:17" x14ac:dyDescent="0.3">
      <c r="A21">
        <v>13</v>
      </c>
      <c r="B21" s="3">
        <f t="shared" si="0"/>
        <v>-36324.45574502361</v>
      </c>
      <c r="C21" s="3">
        <f t="shared" si="1"/>
        <v>-12726.047536416592</v>
      </c>
      <c r="D21" s="3">
        <f t="shared" si="2"/>
        <v>-23598.408208607023</v>
      </c>
      <c r="E21" s="3">
        <f t="shared" si="5"/>
        <v>380580.755940367</v>
      </c>
      <c r="F21" s="3">
        <f t="shared" si="3"/>
        <v>46845.585050385154</v>
      </c>
      <c r="G21" s="8">
        <f>B21+F21</f>
        <v>10521.129305361545</v>
      </c>
      <c r="H21" s="8">
        <f>H20*(1+cap_appreciation_rate)</f>
        <v>1204922.500094041</v>
      </c>
      <c r="I21" s="8">
        <f t="shared" si="4"/>
        <v>824341.74415367399</v>
      </c>
      <c r="J21" s="1">
        <f>B21/52</f>
        <v>-698.54722586583864</v>
      </c>
      <c r="K21" s="9">
        <f>K20*(1+rental_growth)</f>
        <v>900.87663558432985</v>
      </c>
      <c r="L21" s="2">
        <v>0</v>
      </c>
      <c r="M21" s="2"/>
      <c r="N21" s="2"/>
      <c r="O21" s="2"/>
      <c r="P21" s="2"/>
      <c r="Q21" s="2"/>
    </row>
    <row r="22" spans="1:17" x14ac:dyDescent="0.3">
      <c r="A22">
        <v>14</v>
      </c>
      <c r="B22" s="3">
        <f t="shared" si="0"/>
        <v>-36324.45574502361</v>
      </c>
      <c r="C22" s="3">
        <f t="shared" si="1"/>
        <v>-13489.610388601586</v>
      </c>
      <c r="D22" s="3">
        <f t="shared" si="2"/>
        <v>-22834.845356422033</v>
      </c>
      <c r="E22" s="3">
        <f t="shared" si="5"/>
        <v>367091.1455517654</v>
      </c>
      <c r="F22" s="3">
        <f t="shared" si="3"/>
        <v>50124.77600391212</v>
      </c>
      <c r="G22" s="8">
        <f>B22+F22</f>
        <v>13800.320258888511</v>
      </c>
      <c r="H22" s="8">
        <f>H21*(1+cap_appreciation_rate)</f>
        <v>1289267.075100624</v>
      </c>
      <c r="I22" s="8">
        <f t="shared" si="4"/>
        <v>922175.92954885866</v>
      </c>
      <c r="J22" s="1">
        <f>B22/52</f>
        <v>-698.54722586583864</v>
      </c>
      <c r="K22" s="9">
        <f>K21*(1+rental_growth)</f>
        <v>963.93800007523305</v>
      </c>
      <c r="L22" s="2">
        <v>0</v>
      </c>
      <c r="M22" s="2"/>
      <c r="N22" s="2"/>
      <c r="O22" s="2"/>
      <c r="P22" s="2"/>
      <c r="Q22" s="2"/>
    </row>
    <row r="23" spans="1:17" x14ac:dyDescent="0.3">
      <c r="A23">
        <v>15</v>
      </c>
      <c r="B23" s="3">
        <f t="shared" si="0"/>
        <v>-36324.45574502361</v>
      </c>
      <c r="C23" s="3">
        <f t="shared" si="1"/>
        <v>-14298.987011917683</v>
      </c>
      <c r="D23" s="3">
        <f t="shared" si="2"/>
        <v>-22025.468733105929</v>
      </c>
      <c r="E23" s="3">
        <f t="shared" si="5"/>
        <v>352792.1585398477</v>
      </c>
      <c r="F23" s="3">
        <f t="shared" si="3"/>
        <v>53633.510324185962</v>
      </c>
      <c r="G23" s="8">
        <f>B23+F23</f>
        <v>17309.054579162352</v>
      </c>
      <c r="H23" s="8">
        <f>H22*(1+cap_appreciation_rate)</f>
        <v>1379515.7703576677</v>
      </c>
      <c r="I23" s="8">
        <f t="shared" si="4"/>
        <v>1026723.61181782</v>
      </c>
      <c r="J23" s="1">
        <f>B23/52</f>
        <v>-698.54722586583864</v>
      </c>
      <c r="K23" s="9">
        <f>K22*(1+rental_growth)</f>
        <v>1031.4136600804993</v>
      </c>
      <c r="L23" s="2">
        <v>0</v>
      </c>
      <c r="M23" s="2"/>
      <c r="N23" s="2"/>
      <c r="O23" s="2"/>
      <c r="P23" s="2"/>
      <c r="Q23" s="2"/>
    </row>
    <row r="24" spans="1:17" x14ac:dyDescent="0.3">
      <c r="A24">
        <v>16</v>
      </c>
      <c r="B24" s="3">
        <f t="shared" si="0"/>
        <v>-36324.45574502361</v>
      </c>
      <c r="C24" s="3">
        <f t="shared" si="1"/>
        <v>-15156.926232632744</v>
      </c>
      <c r="D24" s="3">
        <f t="shared" si="2"/>
        <v>-21167.529512390873</v>
      </c>
      <c r="E24" s="3">
        <f t="shared" si="5"/>
        <v>337635.23230721499</v>
      </c>
      <c r="F24" s="3">
        <f t="shared" si="3"/>
        <v>57387.856046878987</v>
      </c>
      <c r="G24" s="8">
        <f>B24+F24</f>
        <v>21063.400301855378</v>
      </c>
      <c r="H24" s="8">
        <f>H23*(1+cap_appreciation_rate)</f>
        <v>1476081.8742827044</v>
      </c>
      <c r="I24" s="8">
        <f t="shared" si="4"/>
        <v>1138446.6419754894</v>
      </c>
      <c r="J24" s="1">
        <f>B24/52</f>
        <v>-698.54722586583864</v>
      </c>
      <c r="K24" s="9">
        <f>K23*(1+rental_growth)</f>
        <v>1103.6126162861344</v>
      </c>
      <c r="L24" s="2">
        <v>0</v>
      </c>
      <c r="M24" s="2"/>
      <c r="N24" s="2"/>
      <c r="O24" s="2"/>
      <c r="P24" s="2"/>
      <c r="Q24" s="2"/>
    </row>
    <row r="25" spans="1:17" x14ac:dyDescent="0.3">
      <c r="A25">
        <v>17</v>
      </c>
      <c r="B25" s="3">
        <f t="shared" si="0"/>
        <v>-36324.45574502361</v>
      </c>
      <c r="C25" s="3">
        <f t="shared" si="1"/>
        <v>-16066.341806590708</v>
      </c>
      <c r="D25" s="3">
        <f t="shared" si="2"/>
        <v>-20258.113938432904</v>
      </c>
      <c r="E25" s="3">
        <f t="shared" si="5"/>
        <v>321568.89050062426</v>
      </c>
      <c r="F25" s="3">
        <f t="shared" si="3"/>
        <v>61405.005970160528</v>
      </c>
      <c r="G25" s="8">
        <f>B25+F25</f>
        <v>25080.550225136918</v>
      </c>
      <c r="H25" s="8">
        <f>H24*(1+cap_appreciation_rate)</f>
        <v>1579407.6054824938</v>
      </c>
      <c r="I25" s="8">
        <f t="shared" si="4"/>
        <v>1257838.7149818696</v>
      </c>
      <c r="J25" s="1">
        <f>B25/52</f>
        <v>-698.54722586583864</v>
      </c>
      <c r="K25" s="9">
        <f>K24*(1+rental_growth)</f>
        <v>1180.865499426164</v>
      </c>
      <c r="L25" s="2">
        <v>0</v>
      </c>
      <c r="M25" s="2"/>
      <c r="N25" s="2"/>
      <c r="O25" s="2"/>
      <c r="P25" s="2"/>
      <c r="Q25" s="2"/>
    </row>
    <row r="26" spans="1:17" x14ac:dyDescent="0.3">
      <c r="A26">
        <v>18</v>
      </c>
      <c r="B26" s="3">
        <f t="shared" si="0"/>
        <v>-36324.45574502361</v>
      </c>
      <c r="C26" s="3">
        <f t="shared" si="1"/>
        <v>-17030.322314986151</v>
      </c>
      <c r="D26" s="3">
        <f t="shared" si="2"/>
        <v>-19294.133430037466</v>
      </c>
      <c r="E26" s="3">
        <f t="shared" si="5"/>
        <v>304538.56818563811</v>
      </c>
      <c r="F26" s="3">
        <f t="shared" si="3"/>
        <v>65703.35638807177</v>
      </c>
      <c r="G26" s="8">
        <f>B26+F26</f>
        <v>29378.90064304816</v>
      </c>
      <c r="H26" s="8">
        <f>H25*(1+cap_appreciation_rate)</f>
        <v>1689966.1378662684</v>
      </c>
      <c r="I26" s="8">
        <f t="shared" si="4"/>
        <v>1385427.5696806302</v>
      </c>
      <c r="J26" s="1">
        <f>B26/52</f>
        <v>-698.54722586583864</v>
      </c>
      <c r="K26" s="9">
        <f>K25*(1+rental_growth)</f>
        <v>1263.5260843859955</v>
      </c>
      <c r="L26" s="2">
        <v>0</v>
      </c>
      <c r="M26" s="2"/>
      <c r="N26" s="2"/>
      <c r="O26" s="2"/>
      <c r="P26" s="2"/>
      <c r="Q26" s="2"/>
    </row>
    <row r="27" spans="1:17" x14ac:dyDescent="0.3">
      <c r="A27">
        <v>19</v>
      </c>
      <c r="B27" s="3">
        <f t="shared" si="0"/>
        <v>-36324.45574502361</v>
      </c>
      <c r="C27" s="3">
        <f t="shared" si="1"/>
        <v>-18052.141653885319</v>
      </c>
      <c r="D27" s="3">
        <f t="shared" si="2"/>
        <v>-18272.314091138294</v>
      </c>
      <c r="E27" s="3">
        <f t="shared" si="5"/>
        <v>286486.4265317528</v>
      </c>
      <c r="F27" s="3">
        <f t="shared" si="3"/>
        <v>70302.591335236793</v>
      </c>
      <c r="G27" s="8">
        <f>B27+F27</f>
        <v>33978.135590213184</v>
      </c>
      <c r="H27" s="8">
        <f>H26*(1+cap_appreciation_rate)</f>
        <v>1808263.7675169073</v>
      </c>
      <c r="I27" s="8">
        <f t="shared" si="4"/>
        <v>1521777.3409851545</v>
      </c>
      <c r="J27" s="1">
        <f>B27/52</f>
        <v>-698.54722586583864</v>
      </c>
      <c r="K27" s="9">
        <f>K26*(1+rental_growth)</f>
        <v>1351.9729102930153</v>
      </c>
      <c r="L27" s="2">
        <v>0</v>
      </c>
      <c r="M27" s="2"/>
      <c r="N27" s="2"/>
      <c r="O27" s="2"/>
      <c r="P27" s="2"/>
      <c r="Q27" s="2"/>
    </row>
    <row r="28" spans="1:17" x14ac:dyDescent="0.3">
      <c r="A28">
        <v>20</v>
      </c>
      <c r="B28" s="3">
        <f t="shared" si="0"/>
        <v>-36324.45574502361</v>
      </c>
      <c r="C28" s="3">
        <f t="shared" si="1"/>
        <v>-19135.270153118439</v>
      </c>
      <c r="D28" s="3">
        <f t="shared" si="2"/>
        <v>-17189.185591905174</v>
      </c>
      <c r="E28" s="3">
        <f t="shared" si="5"/>
        <v>267351.15637863439</v>
      </c>
      <c r="F28" s="3">
        <f t="shared" si="3"/>
        <v>75223.772728703378</v>
      </c>
      <c r="G28" s="8">
        <f>B28+F28</f>
        <v>38899.316983679768</v>
      </c>
      <c r="H28" s="8">
        <f>H27*(1+cap_appreciation_rate)</f>
        <v>1934842.2312430909</v>
      </c>
      <c r="I28" s="8">
        <f t="shared" si="4"/>
        <v>1667491.0748644564</v>
      </c>
      <c r="J28" s="1">
        <f>B28/52</f>
        <v>-698.54722586583864</v>
      </c>
      <c r="K28" s="9">
        <f>K27*(1+rental_growth)</f>
        <v>1446.6110140135265</v>
      </c>
      <c r="L28" s="2">
        <v>0</v>
      </c>
      <c r="M28" s="2"/>
      <c r="N28" s="2"/>
      <c r="O28" s="2"/>
      <c r="P28" s="2"/>
      <c r="Q28" s="2"/>
    </row>
    <row r="29" spans="1:17" x14ac:dyDescent="0.3">
      <c r="A29">
        <v>21</v>
      </c>
      <c r="B29" s="3">
        <f t="shared" si="0"/>
        <v>-36324.45574502361</v>
      </c>
      <c r="C29" s="3">
        <f t="shared" si="1"/>
        <v>-20283.386362305544</v>
      </c>
      <c r="D29" s="3">
        <f t="shared" si="2"/>
        <v>-16041.069382718066</v>
      </c>
      <c r="E29" s="3">
        <f t="shared" si="5"/>
        <v>247067.77001632884</v>
      </c>
      <c r="F29" s="3">
        <f t="shared" si="3"/>
        <v>80489.436819712617</v>
      </c>
      <c r="G29" s="8">
        <f>B29+F29</f>
        <v>44164.981074689007</v>
      </c>
      <c r="H29" s="8">
        <f>H28*(1+cap_appreciation_rate)</f>
        <v>2070281.1874301075</v>
      </c>
      <c r="I29" s="8">
        <f t="shared" si="4"/>
        <v>1823213.4174137786</v>
      </c>
      <c r="J29" s="1">
        <f>B29/52</f>
        <v>-698.54722586583864</v>
      </c>
      <c r="K29" s="9">
        <f>K28*(1+rental_growth)</f>
        <v>1547.8737849944735</v>
      </c>
      <c r="L29" s="2">
        <v>0</v>
      </c>
      <c r="M29" s="2"/>
      <c r="N29" s="2"/>
      <c r="O29" s="2"/>
      <c r="P29" s="2"/>
      <c r="Q29" s="2"/>
    </row>
    <row r="30" spans="1:17" x14ac:dyDescent="0.3">
      <c r="A30">
        <v>22</v>
      </c>
      <c r="B30" s="3">
        <f t="shared" si="0"/>
        <v>-36324.45574502361</v>
      </c>
      <c r="C30" s="3">
        <f t="shared" si="1"/>
        <v>-21500.389544043876</v>
      </c>
      <c r="D30" s="3">
        <f t="shared" si="2"/>
        <v>-14824.066200979736</v>
      </c>
      <c r="E30" s="3">
        <f t="shared" si="5"/>
        <v>225567.38047228497</v>
      </c>
      <c r="F30" s="3">
        <f t="shared" si="3"/>
        <v>86123.697397092517</v>
      </c>
      <c r="G30" s="8">
        <f>B30+F30</f>
        <v>49799.241652068908</v>
      </c>
      <c r="H30" s="8">
        <f>H29*(1+cap_appreciation_rate)</f>
        <v>2215200.8705502152</v>
      </c>
      <c r="I30" s="8">
        <f t="shared" si="4"/>
        <v>1989633.4900779303</v>
      </c>
      <c r="J30" s="1">
        <f>B30/52</f>
        <v>-698.54722586583864</v>
      </c>
      <c r="K30" s="9">
        <f>K29*(1+rental_growth)</f>
        <v>1656.2249499440868</v>
      </c>
      <c r="L30" s="2">
        <v>0</v>
      </c>
      <c r="M30" s="2"/>
      <c r="N30" s="2"/>
      <c r="O30" s="2"/>
      <c r="P30" s="2"/>
      <c r="Q30" s="2"/>
    </row>
    <row r="31" spans="1:17" x14ac:dyDescent="0.3">
      <c r="A31">
        <v>23</v>
      </c>
      <c r="B31" s="3">
        <f t="shared" si="0"/>
        <v>-36324.45574502361</v>
      </c>
      <c r="C31" s="3">
        <f t="shared" si="1"/>
        <v>-22790.41291668651</v>
      </c>
      <c r="D31" s="3">
        <f t="shared" si="2"/>
        <v>-13534.042828337102</v>
      </c>
      <c r="E31" s="3">
        <f t="shared" si="5"/>
        <v>202776.96755559847</v>
      </c>
      <c r="F31" s="3">
        <f t="shared" si="3"/>
        <v>92152.356214889005</v>
      </c>
      <c r="G31" s="8">
        <f>B31+F31</f>
        <v>55827.900469865395</v>
      </c>
      <c r="H31" s="8">
        <f>H30*(1+cap_appreciation_rate)</f>
        <v>2370264.9314887305</v>
      </c>
      <c r="I31" s="8">
        <f t="shared" si="4"/>
        <v>2167487.9639331321</v>
      </c>
      <c r="J31" s="1">
        <f>B31/52</f>
        <v>-698.54722586583864</v>
      </c>
      <c r="K31" s="9">
        <f>K30*(1+rental_growth)</f>
        <v>1772.1606964401731</v>
      </c>
      <c r="L31" s="2">
        <v>0</v>
      </c>
      <c r="M31" s="2"/>
      <c r="N31" s="2"/>
      <c r="O31" s="2"/>
      <c r="P31" s="2"/>
      <c r="Q31" s="2"/>
    </row>
    <row r="32" spans="1:17" x14ac:dyDescent="0.3">
      <c r="A32">
        <v>24</v>
      </c>
      <c r="B32" s="3">
        <f t="shared" si="0"/>
        <v>-36324.45574502361</v>
      </c>
      <c r="C32" s="3">
        <f t="shared" si="1"/>
        <v>-24157.837691687702</v>
      </c>
      <c r="D32" s="3">
        <f t="shared" si="2"/>
        <v>-12166.618053335913</v>
      </c>
      <c r="E32" s="3">
        <f t="shared" si="5"/>
        <v>178619.12986391078</v>
      </c>
      <c r="F32" s="3">
        <f t="shared" si="3"/>
        <v>98603.021149931228</v>
      </c>
      <c r="G32" s="8">
        <f>B32+F32</f>
        <v>62278.565404907618</v>
      </c>
      <c r="H32" s="8">
        <f>H31*(1+cap_appreciation_rate)</f>
        <v>2536183.476692942</v>
      </c>
      <c r="I32" s="8">
        <f t="shared" si="4"/>
        <v>2357564.3468290311</v>
      </c>
      <c r="J32" s="1">
        <f>B32/52</f>
        <v>-698.54722586583864</v>
      </c>
      <c r="K32" s="9">
        <f>K31*(1+rental_growth)</f>
        <v>1896.2119451909853</v>
      </c>
      <c r="L32" s="2">
        <v>0</v>
      </c>
      <c r="M32" s="2"/>
      <c r="N32" s="2"/>
      <c r="O32" s="2"/>
      <c r="P32" s="2"/>
      <c r="Q32" s="2"/>
    </row>
    <row r="33" spans="1:17" x14ac:dyDescent="0.3">
      <c r="A33">
        <v>25</v>
      </c>
      <c r="B33" s="3">
        <f t="shared" si="0"/>
        <v>-36324.45574502361</v>
      </c>
      <c r="C33" s="3">
        <f t="shared" si="1"/>
        <v>-25607.307953188963</v>
      </c>
      <c r="D33" s="3">
        <f t="shared" si="2"/>
        <v>-10717.14779183465</v>
      </c>
      <c r="E33" s="3">
        <f t="shared" si="5"/>
        <v>153011.82191072183</v>
      </c>
      <c r="F33" s="3">
        <f t="shared" si="3"/>
        <v>105505.23263042641</v>
      </c>
      <c r="G33" s="8">
        <f>B33+F33</f>
        <v>69180.776885402796</v>
      </c>
      <c r="H33" s="8">
        <f>H32*(1+cap_appreciation_rate)</f>
        <v>2713716.320061448</v>
      </c>
      <c r="I33" s="8">
        <f t="shared" si="4"/>
        <v>2560704.4981507263</v>
      </c>
      <c r="J33" s="1">
        <f>B33/52</f>
        <v>-698.54722586583864</v>
      </c>
      <c r="K33" s="9">
        <f>K32*(1+rental_growth)</f>
        <v>2028.9467813543542</v>
      </c>
      <c r="L33" s="2">
        <v>0</v>
      </c>
      <c r="M33" s="2"/>
      <c r="N33" s="2"/>
      <c r="O33" s="2"/>
      <c r="P33" s="2"/>
      <c r="Q33" s="2"/>
    </row>
    <row r="34" spans="1:17" x14ac:dyDescent="0.3">
      <c r="A34">
        <v>26</v>
      </c>
      <c r="B34" s="3">
        <f t="shared" si="0"/>
        <v>-36324.45574502361</v>
      </c>
      <c r="C34" s="3">
        <f t="shared" si="1"/>
        <v>-27143.746430380299</v>
      </c>
      <c r="D34" s="3">
        <f t="shared" si="2"/>
        <v>-9180.7093146433144</v>
      </c>
      <c r="E34" s="3">
        <f t="shared" si="5"/>
        <v>125868.07548034153</v>
      </c>
      <c r="F34" s="3">
        <f t="shared" si="3"/>
        <v>112890.59891455629</v>
      </c>
      <c r="G34" s="8">
        <f>B34+F34</f>
        <v>76566.143169532676</v>
      </c>
      <c r="H34" s="8">
        <f>H33*(1+cap_appreciation_rate)</f>
        <v>2903676.4624657496</v>
      </c>
      <c r="I34" s="8">
        <f t="shared" si="4"/>
        <v>2777808.3869854081</v>
      </c>
      <c r="J34" s="1">
        <f>B34/52</f>
        <v>-698.54722586583864</v>
      </c>
      <c r="K34" s="9">
        <f>K33*(1+rental_growth)</f>
        <v>2170.9730560491594</v>
      </c>
      <c r="L34" s="2">
        <v>0</v>
      </c>
      <c r="M34" s="2"/>
      <c r="N34" s="2"/>
      <c r="O34" s="2"/>
      <c r="P34" s="2"/>
      <c r="Q34" s="2"/>
    </row>
    <row r="35" spans="1:17" x14ac:dyDescent="0.3">
      <c r="A35">
        <v>27</v>
      </c>
      <c r="B35" s="3">
        <f t="shared" si="0"/>
        <v>-36324.45574502361</v>
      </c>
      <c r="C35" s="3">
        <f t="shared" si="1"/>
        <v>-28772.371216203119</v>
      </c>
      <c r="D35" s="3">
        <f t="shared" si="2"/>
        <v>-7552.0845288204964</v>
      </c>
      <c r="E35" s="3">
        <f t="shared" si="5"/>
        <v>97095.704264138418</v>
      </c>
      <c r="F35" s="3">
        <f t="shared" si="3"/>
        <v>120792.94083857523</v>
      </c>
      <c r="G35" s="8">
        <f>B35+F35</f>
        <v>84468.48509355163</v>
      </c>
      <c r="H35" s="8">
        <f>H34*(1+cap_appreciation_rate)</f>
        <v>3106933.8148383521</v>
      </c>
      <c r="I35" s="8">
        <f t="shared" si="4"/>
        <v>3009838.1105742138</v>
      </c>
      <c r="J35" s="1">
        <f>B35/52</f>
        <v>-698.54722586583864</v>
      </c>
      <c r="K35" s="9">
        <f>K34*(1+rental_growth)</f>
        <v>2322.9411699726006</v>
      </c>
      <c r="L35" s="2">
        <v>0</v>
      </c>
      <c r="M35" s="2"/>
      <c r="N35" s="2"/>
      <c r="O35" s="2"/>
      <c r="P35" s="2"/>
      <c r="Q35" s="2"/>
    </row>
    <row r="36" spans="1:17" x14ac:dyDescent="0.3">
      <c r="A36">
        <v>28</v>
      </c>
      <c r="B36" s="3">
        <f t="shared" si="0"/>
        <v>-36324.45574502361</v>
      </c>
      <c r="C36" s="3">
        <f t="shared" si="1"/>
        <v>-30498.713489175301</v>
      </c>
      <c r="D36" s="3">
        <f t="shared" si="2"/>
        <v>-5825.7422558483086</v>
      </c>
      <c r="E36" s="3">
        <f t="shared" si="5"/>
        <v>66596.990774963109</v>
      </c>
      <c r="F36" s="3">
        <f t="shared" si="3"/>
        <v>129248.44669727552</v>
      </c>
      <c r="G36" s="8">
        <f>B36+F36</f>
        <v>92923.990952251916</v>
      </c>
      <c r="H36" s="8">
        <f>H35*(1+cap_appreciation_rate)</f>
        <v>3324419.181877037</v>
      </c>
      <c r="I36" s="8">
        <f t="shared" si="4"/>
        <v>3257822.191102074</v>
      </c>
      <c r="J36" s="1">
        <f>B36/52</f>
        <v>-698.54722586583864</v>
      </c>
      <c r="K36" s="9">
        <f>K35*(1+rental_growth)</f>
        <v>2485.5470518706829</v>
      </c>
      <c r="L36" s="2">
        <v>0</v>
      </c>
      <c r="M36" s="2"/>
      <c r="N36" s="2"/>
      <c r="O36" s="2"/>
      <c r="P36" s="2"/>
      <c r="Q36" s="2"/>
    </row>
    <row r="37" spans="1:17" x14ac:dyDescent="0.3">
      <c r="A37">
        <v>29</v>
      </c>
      <c r="B37" s="3">
        <f t="shared" si="0"/>
        <v>-36324.45574502361</v>
      </c>
      <c r="C37" s="3">
        <f t="shared" si="1"/>
        <v>-32328.636298525824</v>
      </c>
      <c r="D37" s="3">
        <f t="shared" si="2"/>
        <v>-3995.819446497791</v>
      </c>
      <c r="E37" s="3">
        <f t="shared" si="5"/>
        <v>34268.354476437285</v>
      </c>
      <c r="F37" s="3">
        <f t="shared" si="3"/>
        <v>138295.8379660848</v>
      </c>
      <c r="G37" s="8">
        <f>B37+F37</f>
        <v>101971.38222106118</v>
      </c>
      <c r="H37" s="8">
        <f>H36*(1+cap_appreciation_rate)</f>
        <v>3557128.52460843</v>
      </c>
      <c r="I37" s="8">
        <f t="shared" si="4"/>
        <v>3522860.1701319925</v>
      </c>
      <c r="J37" s="1">
        <f>B37/52</f>
        <v>-698.54722586583864</v>
      </c>
      <c r="K37" s="9">
        <f>K36*(1+rental_growth)</f>
        <v>2659.5353455016307</v>
      </c>
      <c r="L37" s="2">
        <v>0</v>
      </c>
      <c r="M37" s="2"/>
      <c r="N37" s="2"/>
      <c r="O37" s="2"/>
      <c r="P37" s="2"/>
      <c r="Q37" s="2"/>
    </row>
    <row r="38" spans="1:17" x14ac:dyDescent="0.3">
      <c r="A38">
        <v>30</v>
      </c>
      <c r="B38" s="3">
        <f t="shared" si="0"/>
        <v>-36324.45574502361</v>
      </c>
      <c r="C38" s="3">
        <f t="shared" si="1"/>
        <v>-34268.354476437373</v>
      </c>
      <c r="D38" s="3">
        <f t="shared" si="2"/>
        <v>-2056.101268586242</v>
      </c>
      <c r="E38" s="3">
        <f t="shared" si="5"/>
        <v>-8.7311491370201111E-11</v>
      </c>
      <c r="F38" s="3">
        <f t="shared" si="3"/>
        <v>147976.54662371075</v>
      </c>
      <c r="G38" s="8">
        <f>B38+F38</f>
        <v>111652.09087868713</v>
      </c>
      <c r="H38" s="8">
        <f>H37*(1+cap_appreciation_rate)</f>
        <v>3806127.5213310202</v>
      </c>
      <c r="I38" s="8">
        <f t="shared" si="4"/>
        <v>3806127.5213310202</v>
      </c>
      <c r="J38" s="1">
        <f>B38/52</f>
        <v>-698.54722586583864</v>
      </c>
      <c r="K38" s="9">
        <f>K37*(1+rental_growth)</f>
        <v>2845.702819686745</v>
      </c>
      <c r="L38" s="2">
        <v>0</v>
      </c>
      <c r="M38" s="2"/>
      <c r="N38" s="2"/>
      <c r="O38" s="2"/>
      <c r="P38" s="2"/>
      <c r="Q38" s="2"/>
    </row>
    <row r="39" spans="1:17" x14ac:dyDescent="0.3">
      <c r="K39" s="1"/>
      <c r="L39" s="2"/>
      <c r="M39" s="2"/>
      <c r="N39" s="2"/>
      <c r="O39" s="2"/>
      <c r="P39" s="2"/>
      <c r="Q39" s="2"/>
    </row>
    <row r="40" spans="1:17" x14ac:dyDescent="0.3">
      <c r="K40" s="1"/>
      <c r="L40" s="2"/>
      <c r="M40" s="2"/>
      <c r="N40" s="2"/>
      <c r="O40" s="2"/>
      <c r="P40" s="2"/>
      <c r="Q40" s="2"/>
    </row>
    <row r="41" spans="1:17" x14ac:dyDescent="0.3">
      <c r="K41" s="1"/>
      <c r="L41" s="2"/>
      <c r="M41" s="2"/>
      <c r="N41" s="2"/>
      <c r="O41" s="2"/>
      <c r="P41" s="2"/>
      <c r="Q41" s="2"/>
    </row>
    <row r="42" spans="1:17" x14ac:dyDescent="0.3">
      <c r="K42" s="1"/>
      <c r="L42" s="2"/>
      <c r="M42" s="2"/>
      <c r="N42" s="2"/>
      <c r="O42" s="2"/>
      <c r="P42" s="2"/>
      <c r="Q42" s="2"/>
    </row>
    <row r="43" spans="1:17" x14ac:dyDescent="0.3">
      <c r="K43" s="1"/>
      <c r="Q43" s="2"/>
    </row>
  </sheetData>
  <conditionalFormatting sqref="G1:I104857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ab0dfb63-2604-44bb-96be-964f1341999a}" enabled="1" method="Privileged" siteId="{45d5d807-c5ae-44c5-bb86-42f20fdebfe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finance</vt:lpstr>
      <vt:lpstr>Amount</vt:lpstr>
      <vt:lpstr>Annual_Rate</vt:lpstr>
      <vt:lpstr>cap_appreciation_rate</vt:lpstr>
      <vt:lpstr>Payments___Year</vt:lpstr>
      <vt:lpstr>rental_growth</vt:lpstr>
      <vt:lpstr>rental_income</vt:lpstr>
      <vt:lpstr>rental_yield</vt:lpstr>
      <vt:lpstr>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Jose.BibinM[HRDIV]</dc:creator>
  <cp:lastModifiedBy>Jose.BibinM[HRDIV]</cp:lastModifiedBy>
  <dcterms:created xsi:type="dcterms:W3CDTF">2025-11-13T01:01:54Z</dcterms:created>
  <dcterms:modified xsi:type="dcterms:W3CDTF">2025-11-24T04:43:40Z</dcterms:modified>
</cp:coreProperties>
</file>