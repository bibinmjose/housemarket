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/>
  <mc:AlternateContent xmlns:mc="http://schemas.openxmlformats.org/markup-compatibility/2006">
    <mc:Choice Requires="x15">
      <x15ac:absPath xmlns:x15ac="http://schemas.microsoft.com/office/spreadsheetml/2010/11/ac" url="/Users/bmj/Library/CloudStorage/GoogleDrive-bibinmjose@gmail.com/My Drive/🏡 Documents/InvestmentProperty/TBD/housemarket/"/>
    </mc:Choice>
  </mc:AlternateContent>
  <xr:revisionPtr revIDLastSave="0" documentId="13_ncr:1_{CC8D5C09-B3D7-E047-98C0-F273EC515BCD}" xr6:coauthVersionLast="47" xr6:coauthVersionMax="47" xr10:uidLastSave="{00000000-0000-0000-0000-000000000000}"/>
  <bookViews>
    <workbookView xWindow="0" yWindow="800" windowWidth="36000" windowHeight="21320" xr2:uid="{61E349DD-C396-4897-954F-94B6F0CC0F58}"/>
  </bookViews>
  <sheets>
    <sheet name="finance" sheetId="2" r:id="rId1"/>
  </sheets>
  <definedNames>
    <definedName name="Amount">finance!$B$4</definedName>
    <definedName name="Annual_Rate">finance!$B$1</definedName>
    <definedName name="cap_appreciation_rate">finance!$E$1</definedName>
    <definedName name="Initial_Value">finance!$B$5</definedName>
    <definedName name="Payments___Year">finance!$B$2</definedName>
    <definedName name="rental_growth">finance!$E$4</definedName>
    <definedName name="rental_income">finance!$E$2</definedName>
    <definedName name="rental_yield">finance!$E$3</definedName>
    <definedName name="tax_rate">finance!$E$5</definedName>
    <definedName name="Years">finance!$B$3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9" i="2" l="1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52" i="2"/>
  <c r="M53" i="2"/>
  <c r="M54" i="2"/>
  <c r="M55" i="2"/>
  <c r="M56" i="2"/>
  <c r="M57" i="2"/>
  <c r="M28" i="2"/>
  <c r="H28" i="2"/>
  <c r="H29" i="2" s="1"/>
  <c r="H30" i="2" s="1"/>
  <c r="H31" i="2" s="1"/>
  <c r="H32" i="2" s="1"/>
  <c r="H33" i="2" s="1"/>
  <c r="H34" i="2" s="1"/>
  <c r="H35" i="2" s="1"/>
  <c r="H36" i="2" s="1"/>
  <c r="H37" i="2" s="1"/>
  <c r="H38" i="2" s="1"/>
  <c r="H39" i="2" s="1"/>
  <c r="H40" i="2" s="1"/>
  <c r="H41" i="2" s="1"/>
  <c r="H42" i="2" s="1"/>
  <c r="H43" i="2" s="1"/>
  <c r="H44" i="2" s="1"/>
  <c r="H45" i="2" s="1"/>
  <c r="H46" i="2" s="1"/>
  <c r="H47" i="2" s="1"/>
  <c r="H48" i="2" s="1"/>
  <c r="H49" i="2" s="1"/>
  <c r="H50" i="2" s="1"/>
  <c r="H51" i="2" s="1"/>
  <c r="H52" i="2" s="1"/>
  <c r="H53" i="2" s="1"/>
  <c r="H54" i="2" s="1"/>
  <c r="H55" i="2" s="1"/>
  <c r="H56" i="2" s="1"/>
  <c r="H57" i="2" s="1"/>
  <c r="K28" i="2"/>
  <c r="F28" i="2" s="1"/>
  <c r="K29" i="2" l="1"/>
  <c r="B30" i="2"/>
  <c r="C30" i="2"/>
  <c r="D30" i="2"/>
  <c r="B31" i="2"/>
  <c r="C31" i="2"/>
  <c r="D31" i="2"/>
  <c r="B32" i="2"/>
  <c r="C32" i="2"/>
  <c r="D32" i="2"/>
  <c r="B33" i="2"/>
  <c r="C33" i="2"/>
  <c r="D33" i="2"/>
  <c r="B34" i="2"/>
  <c r="C34" i="2"/>
  <c r="D34" i="2"/>
  <c r="B35" i="2"/>
  <c r="C35" i="2"/>
  <c r="D35" i="2"/>
  <c r="B36" i="2"/>
  <c r="C36" i="2"/>
  <c r="D36" i="2"/>
  <c r="B37" i="2"/>
  <c r="C37" i="2"/>
  <c r="D37" i="2"/>
  <c r="B38" i="2"/>
  <c r="C38" i="2"/>
  <c r="D38" i="2"/>
  <c r="B39" i="2"/>
  <c r="C39" i="2"/>
  <c r="D39" i="2"/>
  <c r="B40" i="2"/>
  <c r="C40" i="2"/>
  <c r="D40" i="2"/>
  <c r="B41" i="2"/>
  <c r="C41" i="2"/>
  <c r="D41" i="2"/>
  <c r="B42" i="2"/>
  <c r="C42" i="2"/>
  <c r="D42" i="2"/>
  <c r="B43" i="2"/>
  <c r="C43" i="2"/>
  <c r="D43" i="2"/>
  <c r="B44" i="2"/>
  <c r="C44" i="2"/>
  <c r="D44" i="2"/>
  <c r="B45" i="2"/>
  <c r="C45" i="2"/>
  <c r="D45" i="2"/>
  <c r="B46" i="2"/>
  <c r="C46" i="2"/>
  <c r="D46" i="2"/>
  <c r="B47" i="2"/>
  <c r="C47" i="2"/>
  <c r="D47" i="2"/>
  <c r="B48" i="2"/>
  <c r="C48" i="2"/>
  <c r="D48" i="2"/>
  <c r="B49" i="2"/>
  <c r="C49" i="2"/>
  <c r="D49" i="2"/>
  <c r="B50" i="2"/>
  <c r="C50" i="2"/>
  <c r="D50" i="2"/>
  <c r="B51" i="2"/>
  <c r="C51" i="2"/>
  <c r="D51" i="2"/>
  <c r="B52" i="2"/>
  <c r="C52" i="2"/>
  <c r="D52" i="2"/>
  <c r="B53" i="2"/>
  <c r="C53" i="2"/>
  <c r="D53" i="2"/>
  <c r="B54" i="2"/>
  <c r="C54" i="2"/>
  <c r="D54" i="2"/>
  <c r="B55" i="2"/>
  <c r="C55" i="2"/>
  <c r="D55" i="2"/>
  <c r="B56" i="2"/>
  <c r="C56" i="2"/>
  <c r="D56" i="2"/>
  <c r="B57" i="2"/>
  <c r="C57" i="2"/>
  <c r="D57" i="2"/>
  <c r="B29" i="2"/>
  <c r="C29" i="2"/>
  <c r="D29" i="2"/>
  <c r="D28" i="2"/>
  <c r="C28" i="2"/>
  <c r="E28" i="2" s="1"/>
  <c r="I28" i="2" s="1"/>
  <c r="B28" i="2"/>
  <c r="N28" i="2" l="1"/>
  <c r="J35" i="2"/>
  <c r="J30" i="2"/>
  <c r="J39" i="2"/>
  <c r="J48" i="2"/>
  <c r="J34" i="2"/>
  <c r="J44" i="2"/>
  <c r="J53" i="2"/>
  <c r="J57" i="2"/>
  <c r="J43" i="2"/>
  <c r="J54" i="2"/>
  <c r="J40" i="2"/>
  <c r="J52" i="2"/>
  <c r="J38" i="2"/>
  <c r="J47" i="2"/>
  <c r="J33" i="2"/>
  <c r="J49" i="2"/>
  <c r="J29" i="2"/>
  <c r="J56" i="2"/>
  <c r="J42" i="2"/>
  <c r="J51" i="2"/>
  <c r="J37" i="2"/>
  <c r="J32" i="2"/>
  <c r="J55" i="2"/>
  <c r="J41" i="2"/>
  <c r="J46" i="2"/>
  <c r="J28" i="2"/>
  <c r="J50" i="2"/>
  <c r="J36" i="2"/>
  <c r="J45" i="2"/>
  <c r="J31" i="2"/>
  <c r="F29" i="2"/>
  <c r="N29" i="2" s="1"/>
  <c r="K30" i="2"/>
  <c r="E29" i="2"/>
  <c r="I29" i="2" s="1"/>
  <c r="G29" i="2" l="1"/>
  <c r="F30" i="2"/>
  <c r="K31" i="2"/>
  <c r="E30" i="2"/>
  <c r="I30" i="2" s="1"/>
  <c r="N30" i="2" l="1"/>
  <c r="G30" i="2"/>
  <c r="K32" i="2"/>
  <c r="F31" i="2"/>
  <c r="E31" i="2"/>
  <c r="I31" i="2" s="1"/>
  <c r="N31" i="2" l="1"/>
  <c r="G31" i="2"/>
  <c r="K33" i="2"/>
  <c r="F32" i="2"/>
  <c r="E32" i="2"/>
  <c r="I32" i="2" s="1"/>
  <c r="G32" i="2" l="1"/>
  <c r="N32" i="2"/>
  <c r="K34" i="2"/>
  <c r="F33" i="2"/>
  <c r="E33" i="2"/>
  <c r="I33" i="2" s="1"/>
  <c r="N33" i="2" l="1"/>
  <c r="G33" i="2"/>
  <c r="K35" i="2"/>
  <c r="F34" i="2"/>
  <c r="E34" i="2"/>
  <c r="I34" i="2" s="1"/>
  <c r="G34" i="2" l="1"/>
  <c r="N34" i="2"/>
  <c r="K36" i="2"/>
  <c r="F35" i="2"/>
  <c r="E35" i="2"/>
  <c r="I35" i="2" s="1"/>
  <c r="N35" i="2" l="1"/>
  <c r="G35" i="2"/>
  <c r="K37" i="2"/>
  <c r="F36" i="2"/>
  <c r="E36" i="2"/>
  <c r="I36" i="2" s="1"/>
  <c r="N36" i="2" l="1"/>
  <c r="G36" i="2"/>
  <c r="K38" i="2"/>
  <c r="F37" i="2"/>
  <c r="E37" i="2"/>
  <c r="I37" i="2" s="1"/>
  <c r="N37" i="2" l="1"/>
  <c r="G37" i="2"/>
  <c r="K39" i="2"/>
  <c r="F38" i="2"/>
  <c r="E38" i="2"/>
  <c r="I38" i="2" s="1"/>
  <c r="N38" i="2" l="1"/>
  <c r="G38" i="2"/>
  <c r="K40" i="2"/>
  <c r="F39" i="2"/>
  <c r="E39" i="2"/>
  <c r="I39" i="2" s="1"/>
  <c r="G39" i="2" l="1"/>
  <c r="N39" i="2"/>
  <c r="K41" i="2"/>
  <c r="F40" i="2"/>
  <c r="E40" i="2"/>
  <c r="I40" i="2" s="1"/>
  <c r="N40" i="2" l="1"/>
  <c r="G40" i="2"/>
  <c r="K42" i="2"/>
  <c r="F41" i="2"/>
  <c r="E41" i="2"/>
  <c r="I41" i="2" s="1"/>
  <c r="G41" i="2" l="1"/>
  <c r="N41" i="2"/>
  <c r="F42" i="2"/>
  <c r="K43" i="2"/>
  <c r="E42" i="2"/>
  <c r="I42" i="2" s="1"/>
  <c r="G42" i="2" l="1"/>
  <c r="N42" i="2"/>
  <c r="F43" i="2"/>
  <c r="K44" i="2"/>
  <c r="E43" i="2"/>
  <c r="I43" i="2" s="1"/>
  <c r="G43" i="2" l="1"/>
  <c r="N43" i="2"/>
  <c r="K45" i="2"/>
  <c r="F44" i="2"/>
  <c r="E44" i="2"/>
  <c r="I44" i="2" s="1"/>
  <c r="N44" i="2" l="1"/>
  <c r="G44" i="2"/>
  <c r="K46" i="2"/>
  <c r="F45" i="2"/>
  <c r="E45" i="2"/>
  <c r="I45" i="2" s="1"/>
  <c r="N45" i="2" l="1"/>
  <c r="G45" i="2"/>
  <c r="K47" i="2"/>
  <c r="F46" i="2"/>
  <c r="E46" i="2"/>
  <c r="I46" i="2" s="1"/>
  <c r="N46" i="2" l="1"/>
  <c r="G46" i="2"/>
  <c r="K48" i="2"/>
  <c r="F47" i="2"/>
  <c r="E47" i="2"/>
  <c r="I47" i="2" s="1"/>
  <c r="N47" i="2" l="1"/>
  <c r="G47" i="2"/>
  <c r="K49" i="2"/>
  <c r="F48" i="2"/>
  <c r="E48" i="2"/>
  <c r="I48" i="2" s="1"/>
  <c r="G48" i="2" l="1"/>
  <c r="N48" i="2"/>
  <c r="K50" i="2"/>
  <c r="F49" i="2"/>
  <c r="E49" i="2"/>
  <c r="I49" i="2" s="1"/>
  <c r="N49" i="2" l="1"/>
  <c r="G49" i="2"/>
  <c r="K51" i="2"/>
  <c r="F50" i="2"/>
  <c r="E50" i="2"/>
  <c r="I50" i="2" s="1"/>
  <c r="N50" i="2" l="1"/>
  <c r="G50" i="2"/>
  <c r="K52" i="2"/>
  <c r="F51" i="2"/>
  <c r="E51" i="2"/>
  <c r="I51" i="2" s="1"/>
  <c r="G51" i="2" l="1"/>
  <c r="N51" i="2"/>
  <c r="K53" i="2"/>
  <c r="F52" i="2"/>
  <c r="E52" i="2"/>
  <c r="I52" i="2" s="1"/>
  <c r="G52" i="2" l="1"/>
  <c r="N52" i="2"/>
  <c r="K54" i="2"/>
  <c r="F53" i="2"/>
  <c r="E53" i="2"/>
  <c r="I53" i="2" s="1"/>
  <c r="G53" i="2" l="1"/>
  <c r="N53" i="2"/>
  <c r="K55" i="2"/>
  <c r="F54" i="2"/>
  <c r="E54" i="2"/>
  <c r="I54" i="2" s="1"/>
  <c r="N54" i="2" l="1"/>
  <c r="G54" i="2"/>
  <c r="K56" i="2"/>
  <c r="F55" i="2"/>
  <c r="E55" i="2"/>
  <c r="I55" i="2" s="1"/>
  <c r="N55" i="2" l="1"/>
  <c r="G55" i="2"/>
  <c r="F56" i="2"/>
  <c r="K57" i="2"/>
  <c r="F57" i="2" s="1"/>
  <c r="E56" i="2"/>
  <c r="I56" i="2" s="1"/>
  <c r="N57" i="2" l="1"/>
  <c r="G57" i="2"/>
  <c r="G56" i="2"/>
  <c r="N56" i="2"/>
  <c r="E57" i="2"/>
  <c r="I57" i="2" s="1"/>
  <c r="G28" i="2"/>
</calcChain>
</file>

<file path=xl/sharedStrings.xml><?xml version="1.0" encoding="utf-8"?>
<sst xmlns="http://schemas.openxmlformats.org/spreadsheetml/2006/main" count="25" uniqueCount="25">
  <si>
    <t>cap_appreciation_rate</t>
  </si>
  <si>
    <t>yearend_cap_appreciation</t>
  </si>
  <si>
    <t>Annual Rate</t>
  </si>
  <si>
    <t>Years</t>
  </si>
  <si>
    <t>Amount</t>
  </si>
  <si>
    <t>Payment Number</t>
  </si>
  <si>
    <t>Payment</t>
  </si>
  <si>
    <t xml:space="preserve">Principal </t>
  </si>
  <si>
    <t>Interest</t>
  </si>
  <si>
    <t>Balance</t>
  </si>
  <si>
    <t>Payments / Year</t>
  </si>
  <si>
    <t>weekly_payment</t>
  </si>
  <si>
    <t>rental income</t>
  </si>
  <si>
    <t>weekly_yield</t>
  </si>
  <si>
    <t>rental_yield</t>
  </si>
  <si>
    <t>yield_yearly</t>
  </si>
  <si>
    <t>rental growth</t>
  </si>
  <si>
    <t>net_capital growth</t>
  </si>
  <si>
    <t>cashflow_0</t>
  </si>
  <si>
    <t>Initial Value</t>
  </si>
  <si>
    <t>tax_incentive</t>
  </si>
  <si>
    <t>cashflow (no tax deduction)</t>
  </si>
  <si>
    <t>cashflow (w/ tax deduction)</t>
  </si>
  <si>
    <t>depreciationschedule</t>
  </si>
  <si>
    <t>tax 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</si>
</sst>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&quot;$&quot;* #,##0.00_-;\-&quot;$&quot;* #,##0.00_-;_-&quot;$&quot;* &quot;-&quot;??_-;_-@_-"/>
    <numFmt numFmtId="165" formatCode="_-* #,##0.00_-;\-* #,##0.00_-;_-* &quot;-&quot;??_-;_-@_-"/>
    <numFmt numFmtId="166" formatCode="_-* #,##0_-;\-* #,##0_-;_-* &quot;-&quot;??_-;_-@_-"/>
    <numFmt numFmtId="167" formatCode="0.000%"/>
    <numFmt numFmtId="168" formatCode="_-&quot;$&quot;* #,##0_-;\-&quot;$&quot;* #,##0_-;_-&quot;$&quot;* &quot;-&quot;??_-;_-@_-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65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13">
    <xf numFmtId="0" fontId="0" fillId="0" borderId="0" xfId="0"/>
    <xf numFmtId="1" fontId="0" fillId="0" borderId="0" xfId="0" applyNumberFormat="1"/>
    <xf numFmtId="166" fontId="0" fillId="0" borderId="0" xfId="1" applyNumberFormat="1" applyFont="1"/>
    <xf numFmtId="3" fontId="0" fillId="0" borderId="0" xfId="0" applyNumberFormat="1"/>
    <xf numFmtId="9" fontId="0" fillId="0" borderId="0" xfId="2" applyFont="1"/>
    <xf numFmtId="167" fontId="0" fillId="0" borderId="0" xfId="2" applyNumberFormat="1" applyFont="1"/>
    <xf numFmtId="166" fontId="0" fillId="0" borderId="0" xfId="1" applyNumberFormat="1" applyFont="1" applyAlignment="1">
      <alignment horizontal="left" vertical="center"/>
    </xf>
    <xf numFmtId="164" fontId="0" fillId="0" borderId="0" xfId="3" applyFont="1"/>
    <xf numFmtId="168" fontId="0" fillId="0" borderId="0" xfId="3" applyNumberFormat="1" applyFont="1"/>
    <xf numFmtId="1" fontId="0" fillId="0" borderId="0" xfId="3" applyNumberFormat="1" applyFont="1"/>
    <xf numFmtId="0" fontId="2" fillId="0" borderId="0" xfId="0" applyFont="1"/>
    <xf numFmtId="3" fontId="2" fillId="0" borderId="0" xfId="0" applyNumberFormat="1" applyFont="1"/>
    <xf numFmtId="168" fontId="2" fillId="0" borderId="0" xfId="3" applyNumberFormat="1" applyFont="1"/>
  </cellXfs>
  <cellStyles count="4">
    <cellStyle name="Comma" xfId="1" builtinId="3"/>
    <cellStyle name="Currency" xfId="3" builtinId="4"/>
    <cellStyle name="Normal" xfId="0" builtinId="0"/>
    <cellStyle name="Per cent" xfId="2" builtinId="5"/>
  </cellStyles>
  <dxfs count="1">
    <dxf>
      <font>
        <b val="0"/>
        <i val="0"/>
        <strike val="0"/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0801873618638647E-2"/>
          <c:y val="8.0152671755725186E-2"/>
          <c:w val="0.89644852898437299"/>
          <c:h val="0.85520015627817525"/>
        </c:manualLayout>
      </c:layout>
      <c:barChart>
        <c:barDir val="col"/>
        <c:grouping val="clustered"/>
        <c:varyColors val="0"/>
        <c:ser>
          <c:idx val="11"/>
          <c:order val="11"/>
          <c:tx>
            <c:strRef>
              <c:f>finance!$N$27</c:f>
              <c:strCache>
                <c:ptCount val="1"/>
                <c:pt idx="0">
                  <c:v> cashflow (no tax deduction) </c:v>
                </c:pt>
              </c:strCache>
            </c:strRef>
          </c:tx>
          <c:spPr>
            <a:solidFill>
              <a:schemeClr val="bg2">
                <a:lumMod val="50000"/>
                <a:alpha val="50000"/>
              </a:schemeClr>
            </a:solidFill>
            <a:ln>
              <a:solidFill>
                <a:schemeClr val="accent1"/>
              </a:solidFill>
            </a:ln>
            <a:effectLst/>
          </c:spPr>
          <c:invertIfNegative val="0"/>
          <c:cat>
            <c:strLit>
              <c:ptCount val="25"/>
              <c:pt idx="0">
                <c:v> $1 </c:v>
              </c:pt>
              <c:pt idx="1">
                <c:v> $2 </c:v>
              </c:pt>
              <c:pt idx="2">
                <c:v> $3 </c:v>
              </c:pt>
              <c:pt idx="3">
                <c:v> $4 </c:v>
              </c:pt>
              <c:pt idx="4">
                <c:v> $5 </c:v>
              </c:pt>
              <c:pt idx="5">
                <c:v> $6 </c:v>
              </c:pt>
              <c:pt idx="6">
                <c:v> $7 </c:v>
              </c:pt>
              <c:pt idx="7">
                <c:v> $8 </c:v>
              </c:pt>
              <c:pt idx="8">
                <c:v> $9 </c:v>
              </c:pt>
              <c:pt idx="9">
                <c:v> $10 </c:v>
              </c:pt>
              <c:pt idx="10">
                <c:v> $11 </c:v>
              </c:pt>
              <c:pt idx="11">
                <c:v> $12 </c:v>
              </c:pt>
              <c:pt idx="12">
                <c:v> $13 </c:v>
              </c:pt>
              <c:pt idx="13">
                <c:v> $14 </c:v>
              </c:pt>
              <c:pt idx="14">
                <c:v> $15 </c:v>
              </c:pt>
              <c:pt idx="15">
                <c:v> $16 </c:v>
              </c:pt>
              <c:pt idx="16">
                <c:v> $17 </c:v>
              </c:pt>
              <c:pt idx="17">
                <c:v> $18 </c:v>
              </c:pt>
              <c:pt idx="18">
                <c:v> $19 </c:v>
              </c:pt>
              <c:pt idx="19">
                <c:v> $20 </c:v>
              </c:pt>
              <c:pt idx="20">
                <c:v> $21 </c:v>
              </c:pt>
              <c:pt idx="21">
                <c:v> $22 </c:v>
              </c:pt>
              <c:pt idx="22">
                <c:v> $23 </c:v>
              </c:pt>
              <c:pt idx="23">
                <c:v> $24 </c:v>
              </c:pt>
              <c:pt idx="24">
                <c:v> $25 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finance!$N$28:$N$57</c15:sqref>
                  </c15:fullRef>
                </c:ext>
              </c:extLst>
              <c:f>finance!$N$28:$N$52</c:f>
              <c:numCache>
                <c:formatCode>_-"$"* #,##0_-;\-"$"* #,##0_-;_-"$"* "-"??_-;_-@_-</c:formatCode>
                <c:ptCount val="25"/>
                <c:pt idx="0">
                  <c:v>-12805.192575882436</c:v>
                </c:pt>
                <c:pt idx="1">
                  <c:v>-11054.872575882433</c:v>
                </c:pt>
                <c:pt idx="2">
                  <c:v>-9199.5333758824272</c:v>
                </c:pt>
                <c:pt idx="3">
                  <c:v>-7232.8738238824299</c:v>
                </c:pt>
                <c:pt idx="4">
                  <c:v>-5148.2146987624292</c:v>
                </c:pt>
                <c:pt idx="5">
                  <c:v>-2938.4760261352276</c:v>
                </c:pt>
                <c:pt idx="6">
                  <c:v>-596.15303315039637</c:v>
                </c:pt>
                <c:pt idx="7">
                  <c:v>1886.70933941353</c:v>
                </c:pt>
                <c:pt idx="8">
                  <c:v>4518.5434543312876</c:v>
                </c:pt>
                <c:pt idx="9">
                  <c:v>7308.2876161441091</c:v>
                </c:pt>
                <c:pt idx="10">
                  <c:v>10265.41642766571</c:v>
                </c:pt>
                <c:pt idx="11">
                  <c:v>13399.972967878603</c:v>
                </c:pt>
                <c:pt idx="12">
                  <c:v>16722.602900504266</c:v>
                </c:pt>
                <c:pt idx="13">
                  <c:v>20244.59062908747</c:v>
                </c:pt>
                <c:pt idx="14">
                  <c:v>23977.897621385666</c:v>
                </c:pt>
                <c:pt idx="15">
                  <c:v>27935.203033221755</c:v>
                </c:pt>
                <c:pt idx="16">
                  <c:v>32129.946769768023</c:v>
                </c:pt>
                <c:pt idx="17">
                  <c:v>36576.375130507047</c:v>
                </c:pt>
                <c:pt idx="18">
                  <c:v>41289.589192890431</c:v>
                </c:pt>
                <c:pt idx="19">
                  <c:v>46285.596099016795</c:v>
                </c:pt>
                <c:pt idx="20">
                  <c:v>51581.363419510759</c:v>
                </c:pt>
                <c:pt idx="21">
                  <c:v>57194.876779234342</c:v>
                </c:pt>
                <c:pt idx="22">
                  <c:v>63145.200940541356</c:v>
                </c:pt>
                <c:pt idx="23">
                  <c:v>69452.544551526778</c:v>
                </c:pt>
                <c:pt idx="24">
                  <c:v>76138.328779171337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5EE-498D-B57F-5F88C9FE5CEF}"/>
            </c:ext>
          </c:extLst>
        </c:ser>
        <c:ser>
          <c:idx val="6"/>
          <c:order val="6"/>
          <c:tx>
            <c:strRef>
              <c:f>finance!$G$27</c:f>
              <c:strCache>
                <c:ptCount val="1"/>
                <c:pt idx="0">
                  <c:v> cashflow (w/ tax deduction) </c:v>
                </c:pt>
              </c:strCache>
            </c:strRef>
          </c:tx>
          <c:spPr>
            <a:solidFill>
              <a:schemeClr val="tx2">
                <a:lumMod val="25000"/>
                <a:lumOff val="75000"/>
                <a:alpha val="50000"/>
              </a:schemeClr>
            </a:solidFill>
            <a:ln>
              <a:solidFill>
                <a:schemeClr val="accent1"/>
              </a:solidFill>
            </a:ln>
            <a:effectLst/>
          </c:spPr>
          <c:invertIfNegative val="0"/>
          <c:cat>
            <c:strLit>
              <c:ptCount val="25"/>
              <c:pt idx="0">
                <c:v> $1 </c:v>
              </c:pt>
              <c:pt idx="1">
                <c:v> $2 </c:v>
              </c:pt>
              <c:pt idx="2">
                <c:v> $3 </c:v>
              </c:pt>
              <c:pt idx="3">
                <c:v> $4 </c:v>
              </c:pt>
              <c:pt idx="4">
                <c:v> $5 </c:v>
              </c:pt>
              <c:pt idx="5">
                <c:v> $6 </c:v>
              </c:pt>
              <c:pt idx="6">
                <c:v> $7 </c:v>
              </c:pt>
              <c:pt idx="7">
                <c:v> $8 </c:v>
              </c:pt>
              <c:pt idx="8">
                <c:v> $9 </c:v>
              </c:pt>
              <c:pt idx="9">
                <c:v> $10 </c:v>
              </c:pt>
              <c:pt idx="10">
                <c:v> $11 </c:v>
              </c:pt>
              <c:pt idx="11">
                <c:v> $12 </c:v>
              </c:pt>
              <c:pt idx="12">
                <c:v> $13 </c:v>
              </c:pt>
              <c:pt idx="13">
                <c:v> $14 </c:v>
              </c:pt>
              <c:pt idx="14">
                <c:v> $15 </c:v>
              </c:pt>
              <c:pt idx="15">
                <c:v> $16 </c:v>
              </c:pt>
              <c:pt idx="16">
                <c:v> $17 </c:v>
              </c:pt>
              <c:pt idx="17">
                <c:v> $18 </c:v>
              </c:pt>
              <c:pt idx="18">
                <c:v> $19 </c:v>
              </c:pt>
              <c:pt idx="19">
                <c:v> $20 </c:v>
              </c:pt>
              <c:pt idx="20">
                <c:v> $21 </c:v>
              </c:pt>
              <c:pt idx="21">
                <c:v> $22 </c:v>
              </c:pt>
              <c:pt idx="22">
                <c:v> $23 </c:v>
              </c:pt>
              <c:pt idx="23">
                <c:v> $24 </c:v>
              </c:pt>
              <c:pt idx="24">
                <c:v> $25 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finance!$G$28:$G$57</c15:sqref>
                  </c15:fullRef>
                </c:ext>
              </c:extLst>
              <c:f>finance!$G$28:$G$52</c:f>
              <c:numCache>
                <c:formatCode>_-"$"* #,##0_-;\-"$"* #,##0_-;_-"$"* "-"??_-;_-@_-</c:formatCode>
                <c:ptCount val="25"/>
                <c:pt idx="0">
                  <c:v>-10244.154060705949</c:v>
                </c:pt>
                <c:pt idx="1">
                  <c:v>-8843.8980607059457</c:v>
                </c:pt>
                <c:pt idx="2">
                  <c:v>-7359.6267007059414</c:v>
                </c:pt>
                <c:pt idx="3">
                  <c:v>-5786.2990591059443</c:v>
                </c:pt>
                <c:pt idx="4">
                  <c:v>-4118.571759009943</c:v>
                </c:pt>
                <c:pt idx="5">
                  <c:v>-2350.7808209081822</c:v>
                </c:pt>
                <c:pt idx="6">
                  <c:v>-476.92242652031712</c:v>
                </c:pt>
                <c:pt idx="7">
                  <c:v>1509.3674715308239</c:v>
                </c:pt>
                <c:pt idx="8">
                  <c:v>3614.8347634650299</c:v>
                </c:pt>
                <c:pt idx="9">
                  <c:v>5846.6300929152876</c:v>
                </c:pt>
                <c:pt idx="10">
                  <c:v>8212.3331421325674</c:v>
                </c:pt>
                <c:pt idx="11">
                  <c:v>10719.978374302882</c:v>
                </c:pt>
                <c:pt idx="12">
                  <c:v>13378.082320403413</c:v>
                </c:pt>
                <c:pt idx="13">
                  <c:v>16195.672503269976</c:v>
                </c:pt>
                <c:pt idx="14">
                  <c:v>19182.318097108531</c:v>
                </c:pt>
                <c:pt idx="15">
                  <c:v>22348.162426577404</c:v>
                </c:pt>
                <c:pt idx="16">
                  <c:v>25703.957415814417</c:v>
                </c:pt>
                <c:pt idx="17">
                  <c:v>29261.100104405639</c:v>
                </c:pt>
                <c:pt idx="18">
                  <c:v>33031.671354312348</c:v>
                </c:pt>
                <c:pt idx="19">
                  <c:v>37028.476879213435</c:v>
                </c:pt>
                <c:pt idx="20">
                  <c:v>41265.09073560861</c:v>
                </c:pt>
                <c:pt idx="21">
                  <c:v>45755.901423387477</c:v>
                </c:pt>
                <c:pt idx="22">
                  <c:v>50516.160752433083</c:v>
                </c:pt>
                <c:pt idx="23">
                  <c:v>55562.035641221424</c:v>
                </c:pt>
                <c:pt idx="24">
                  <c:v>60910.663023337067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856-4398-A86C-ECCE62D44F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09075144"/>
        <c:axId val="509074424"/>
        <c:extLst>
          <c:ext xmlns:c15="http://schemas.microsoft.com/office/drawing/2012/chart" uri="{02D57815-91ED-43cb-92C2-25804820EDAC}">
            <c15:filteredBarSeries>
              <c15:ser>
                <c:idx val="10"/>
                <c:order val="10"/>
                <c:tx>
                  <c:strRef>
                    <c:extLst>
                      <c:ext uri="{02D57815-91ED-43cb-92C2-25804820EDAC}">
                        <c15:formulaRef>
                          <c15:sqref>finance!$M$27</c15:sqref>
                        </c15:formulaRef>
                      </c:ext>
                    </c:extLst>
                    <c:strCache>
                      <c:ptCount val="1"/>
                      <c:pt idx="0">
                        <c:v>tax_incentive</c:v>
                      </c:pt>
                    </c:strCache>
                  </c:strRef>
                </c:tx>
                <c:spPr>
                  <a:solidFill>
                    <a:schemeClr val="accent5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val>
                  <c:numRef>
                    <c:extLst>
                      <c:ext uri="{02D57815-91ED-43cb-92C2-25804820EDAC}">
                        <c15:fullRef>
                          <c15:sqref>finance!$M$28:$M$57</c15:sqref>
                        </c15:fullRef>
                        <c15:formulaRef>
                          <c15:sqref>finance!$M$28:$M$52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25"/>
                      <c:pt idx="0">
                        <c:v>2561.0385151764876</c:v>
                      </c:pt>
                      <c:pt idx="1">
                        <c:v>2210.9745151764869</c:v>
                      </c:pt>
                      <c:pt idx="2">
                        <c:v>1839.9066751764856</c:v>
                      </c:pt>
                      <c:pt idx="3">
                        <c:v>1446.5747647764861</c:v>
                      </c:pt>
                      <c:pt idx="4">
                        <c:v>1029.642939752486</c:v>
                      </c:pt>
                      <c:pt idx="5">
                        <c:v>587.69520522704556</c:v>
                      </c:pt>
                      <c:pt idx="6">
                        <c:v>119.23060663007928</c:v>
                      </c:pt>
                      <c:pt idx="7">
                        <c:v>-377.34186788270603</c:v>
                      </c:pt>
                      <c:pt idx="8">
                        <c:v>-903.7086908662576</c:v>
                      </c:pt>
                      <c:pt idx="9">
                        <c:v>-1461.6575232288219</c:v>
                      </c:pt>
                      <c:pt idx="10">
                        <c:v>-2053.0832855331423</c:v>
                      </c:pt>
                      <c:pt idx="11">
                        <c:v>-2679.9945935757205</c:v>
                      </c:pt>
                      <c:pt idx="12">
                        <c:v>-3344.5205801008533</c:v>
                      </c:pt>
                      <c:pt idx="13">
                        <c:v>-4048.918125817494</c:v>
                      </c:pt>
                      <c:pt idx="14">
                        <c:v>-4795.5795242771337</c:v>
                      </c:pt>
                      <c:pt idx="15">
                        <c:v>-5587.0406066443511</c:v>
                      </c:pt>
                      <c:pt idx="16">
                        <c:v>-6425.9893539536051</c:v>
                      </c:pt>
                      <c:pt idx="17">
                        <c:v>-7315.2750261014098</c:v>
                      </c:pt>
                      <c:pt idx="18">
                        <c:v>-8257.917838578087</c:v>
                      </c:pt>
                      <c:pt idx="19">
                        <c:v>-9257.1192198033586</c:v>
                      </c:pt>
                      <c:pt idx="20">
                        <c:v>-10316.272683902152</c:v>
                      </c:pt>
                      <c:pt idx="21">
                        <c:v>-11438.975355846869</c:v>
                      </c:pt>
                      <c:pt idx="22">
                        <c:v>-12629.040188108273</c:v>
                      </c:pt>
                      <c:pt idx="23">
                        <c:v>-13890.508910305356</c:v>
                      </c:pt>
                      <c:pt idx="24">
                        <c:v>-15227.665755834269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85EE-498D-B57F-5F88C9FE5CEF}"/>
                  </c:ext>
                </c:extLst>
              </c15:ser>
            </c15:filteredBarSeries>
          </c:ext>
        </c:extLst>
      </c:barChart>
      <c:lineChart>
        <c:grouping val="standard"/>
        <c:varyColors val="0"/>
        <c:ser>
          <c:idx val="7"/>
          <c:order val="7"/>
          <c:tx>
            <c:strRef>
              <c:f>finance!$H$27</c:f>
              <c:strCache>
                <c:ptCount val="1"/>
                <c:pt idx="0">
                  <c:v> yearend_cap_appreciation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Lit>
              <c:ptCount val="25"/>
              <c:pt idx="0">
                <c:v> $1 </c:v>
              </c:pt>
              <c:pt idx="1">
                <c:v> $2 </c:v>
              </c:pt>
              <c:pt idx="2">
                <c:v> $3 </c:v>
              </c:pt>
              <c:pt idx="3">
                <c:v> $4 </c:v>
              </c:pt>
              <c:pt idx="4">
                <c:v> $5 </c:v>
              </c:pt>
              <c:pt idx="5">
                <c:v> $6 </c:v>
              </c:pt>
              <c:pt idx="6">
                <c:v> $7 </c:v>
              </c:pt>
              <c:pt idx="7">
                <c:v> $8 </c:v>
              </c:pt>
              <c:pt idx="8">
                <c:v> $9 </c:v>
              </c:pt>
              <c:pt idx="9">
                <c:v> $10 </c:v>
              </c:pt>
              <c:pt idx="10">
                <c:v> $11 </c:v>
              </c:pt>
              <c:pt idx="11">
                <c:v> $12 </c:v>
              </c:pt>
              <c:pt idx="12">
                <c:v> $13 </c:v>
              </c:pt>
              <c:pt idx="13">
                <c:v> $14 </c:v>
              </c:pt>
              <c:pt idx="14">
                <c:v> $15 </c:v>
              </c:pt>
              <c:pt idx="15">
                <c:v> $16 </c:v>
              </c:pt>
              <c:pt idx="16">
                <c:v> $17 </c:v>
              </c:pt>
              <c:pt idx="17">
                <c:v> $18 </c:v>
              </c:pt>
              <c:pt idx="18">
                <c:v> $19 </c:v>
              </c:pt>
              <c:pt idx="19">
                <c:v> $20 </c:v>
              </c:pt>
              <c:pt idx="20">
                <c:v> $21 </c:v>
              </c:pt>
              <c:pt idx="21">
                <c:v> $22 </c:v>
              </c:pt>
              <c:pt idx="22">
                <c:v> $23 </c:v>
              </c:pt>
              <c:pt idx="23">
                <c:v> $24 </c:v>
              </c:pt>
              <c:pt idx="24">
                <c:v> $25 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finance!$H$28:$H$57</c15:sqref>
                  </c15:fullRef>
                </c:ext>
              </c:extLst>
              <c:f>finance!$H$28:$H$52</c:f>
              <c:numCache>
                <c:formatCode>_-"$"* #,##0_-;\-"$"* #,##0_-;_-"$"* "-"??_-;_-@_-</c:formatCode>
                <c:ptCount val="25"/>
                <c:pt idx="0">
                  <c:v>784400</c:v>
                </c:pt>
                <c:pt idx="1">
                  <c:v>831464</c:v>
                </c:pt>
                <c:pt idx="2">
                  <c:v>881351.84000000008</c:v>
                </c:pt>
                <c:pt idx="3">
                  <c:v>934232.95040000009</c:v>
                </c:pt>
                <c:pt idx="4">
                  <c:v>990286.92742400011</c:v>
                </c:pt>
                <c:pt idx="5">
                  <c:v>1049704.1430694403</c:v>
                </c:pt>
                <c:pt idx="6">
                  <c:v>1112686.3916536067</c:v>
                </c:pt>
                <c:pt idx="7">
                  <c:v>1179447.5751528232</c:v>
                </c:pt>
                <c:pt idx="8">
                  <c:v>1250214.4296619927</c:v>
                </c:pt>
                <c:pt idx="9">
                  <c:v>1325227.2954417123</c:v>
                </c:pt>
                <c:pt idx="10">
                  <c:v>1404740.933168215</c:v>
                </c:pt>
                <c:pt idx="11">
                  <c:v>1489025.389158308</c:v>
                </c:pt>
                <c:pt idx="12">
                  <c:v>1578366.9125078067</c:v>
                </c:pt>
                <c:pt idx="13">
                  <c:v>1673068.9272582752</c:v>
                </c:pt>
                <c:pt idx="14">
                  <c:v>1773453.0628937718</c:v>
                </c:pt>
                <c:pt idx="15">
                  <c:v>1879860.2466673981</c:v>
                </c:pt>
                <c:pt idx="16">
                  <c:v>1992651.8614674422</c:v>
                </c:pt>
                <c:pt idx="17">
                  <c:v>2112210.9731554887</c:v>
                </c:pt>
                <c:pt idx="18">
                  <c:v>2238943.6315448182</c:v>
                </c:pt>
                <c:pt idx="19">
                  <c:v>2373280.2494375072</c:v>
                </c:pt>
                <c:pt idx="20">
                  <c:v>2515677.0644037579</c:v>
                </c:pt>
                <c:pt idx="21">
                  <c:v>2666617.6882679835</c:v>
                </c:pt>
                <c:pt idx="22">
                  <c:v>2826614.7495640628</c:v>
                </c:pt>
                <c:pt idx="23">
                  <c:v>2996211.6345379069</c:v>
                </c:pt>
                <c:pt idx="24">
                  <c:v>3175984.3326101815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856-4398-A86C-ECCE62D44F1C}"/>
            </c:ext>
          </c:extLst>
        </c:ser>
        <c:ser>
          <c:idx val="8"/>
          <c:order val="8"/>
          <c:tx>
            <c:strRef>
              <c:f>finance!$I$27</c:f>
              <c:strCache>
                <c:ptCount val="1"/>
                <c:pt idx="0">
                  <c:v> net_capital growth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Lit>
              <c:ptCount val="25"/>
              <c:pt idx="0">
                <c:v> $1 </c:v>
              </c:pt>
              <c:pt idx="1">
                <c:v> $2 </c:v>
              </c:pt>
              <c:pt idx="2">
                <c:v> $3 </c:v>
              </c:pt>
              <c:pt idx="3">
                <c:v> $4 </c:v>
              </c:pt>
              <c:pt idx="4">
                <c:v> $5 </c:v>
              </c:pt>
              <c:pt idx="5">
                <c:v> $6 </c:v>
              </c:pt>
              <c:pt idx="6">
                <c:v> $7 </c:v>
              </c:pt>
              <c:pt idx="7">
                <c:v> $8 </c:v>
              </c:pt>
              <c:pt idx="8">
                <c:v> $9 </c:v>
              </c:pt>
              <c:pt idx="9">
                <c:v> $10 </c:v>
              </c:pt>
              <c:pt idx="10">
                <c:v> $11 </c:v>
              </c:pt>
              <c:pt idx="11">
                <c:v> $12 </c:v>
              </c:pt>
              <c:pt idx="12">
                <c:v> $13 </c:v>
              </c:pt>
              <c:pt idx="13">
                <c:v> $14 </c:v>
              </c:pt>
              <c:pt idx="14">
                <c:v> $15 </c:v>
              </c:pt>
              <c:pt idx="15">
                <c:v> $16 </c:v>
              </c:pt>
              <c:pt idx="16">
                <c:v> $17 </c:v>
              </c:pt>
              <c:pt idx="17">
                <c:v> $18 </c:v>
              </c:pt>
              <c:pt idx="18">
                <c:v> $19 </c:v>
              </c:pt>
              <c:pt idx="19">
                <c:v> $20 </c:v>
              </c:pt>
              <c:pt idx="20">
                <c:v> $21 </c:v>
              </c:pt>
              <c:pt idx="21">
                <c:v> $22 </c:v>
              </c:pt>
              <c:pt idx="22">
                <c:v> $23 </c:v>
              </c:pt>
              <c:pt idx="23">
                <c:v> $24 </c:v>
              </c:pt>
              <c:pt idx="24">
                <c:v> $25 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finance!$I$28:$I$57</c15:sqref>
                  </c15:fullRef>
                </c:ext>
              </c:extLst>
              <c:f>finance!$I$28:$I$52</c:f>
              <c:numCache>
                <c:formatCode>_-"$"* #,##0_-;\-"$"* #,##0_-;_-"$"* "-"??_-;_-@_-</c:formatCode>
                <c:ptCount val="25"/>
                <c:pt idx="0">
                  <c:v>185327.23257588246</c:v>
                </c:pt>
                <c:pt idx="1">
                  <c:v>241179.79383646883</c:v>
                </c:pt>
                <c:pt idx="2">
                  <c:v>300343.08139089169</c:v>
                </c:pt>
                <c:pt idx="3">
                  <c:v>363013.49913982954</c:v>
                </c:pt>
                <c:pt idx="4">
                  <c:v>429399.11113989854</c:v>
                </c:pt>
                <c:pt idx="5">
                  <c:v>499720.33433908189</c:v>
                </c:pt>
                <c:pt idx="6">
                  <c:v>574210.67249546887</c:v>
                </c:pt>
                <c:pt idx="7">
                  <c:v>653117.49372920708</c:v>
                </c:pt>
                <c:pt idx="8">
                  <c:v>736702.85430339072</c:v>
                </c:pt>
                <c:pt idx="9">
                  <c:v>825244.37138412613</c:v>
                </c:pt>
                <c:pt idx="10">
                  <c:v>919036.14769372088</c:v>
                </c:pt>
                <c:pt idx="11">
                  <c:v>1018389.7511444094</c:v>
                </c:pt>
                <c:pt idx="12">
                  <c:v>1123635.2527238205</c:v>
                </c:pt>
                <c:pt idx="13">
                  <c:v>1235122.3260981387</c:v>
                </c:pt>
                <c:pt idx="14">
                  <c:v>1353221.4126052461</c:v>
                </c:pt>
                <c:pt idx="15">
                  <c:v>1478324.9555287706</c:v>
                </c:pt>
                <c:pt idx="16">
                  <c:v>1610848.707775617</c:v>
                </c:pt>
                <c:pt idx="17">
                  <c:v>1751233.1173250189</c:v>
                </c:pt>
                <c:pt idx="18">
                  <c:v>1899944.7950772229</c:v>
                </c:pt>
                <c:pt idx="19">
                  <c:v>2057478.0700054895</c:v>
                </c:pt>
                <c:pt idx="20">
                  <c:v>2224356.6368070887</c:v>
                </c:pt>
                <c:pt idx="21">
                  <c:v>2401135.3015583414</c:v>
                </c:pt>
                <c:pt idx="22">
                  <c:v>2588401.831206589</c:v>
                </c:pt>
                <c:pt idx="23">
                  <c:v>2786778.9130793111</c:v>
                </c:pt>
                <c:pt idx="24">
                  <c:v>2996926.230958662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1856-4398-A86C-ECCE62D44F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39982424"/>
        <c:axId val="73998278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finance!$A$27</c15:sqref>
                        </c15:formulaRef>
                      </c:ext>
                    </c:extLst>
                    <c:strCache>
                      <c:ptCount val="1"/>
                      <c:pt idx="0">
                        <c:v>Payment Number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val>
                  <c:numRef>
                    <c:extLst>
                      <c:ext uri="{02D57815-91ED-43cb-92C2-25804820EDAC}">
                        <c15:fullRef>
                          <c15:sqref>finance!$A$28:$A$57</c15:sqref>
                        </c15:fullRef>
                        <c15:formulaRef>
                          <c15:sqref>finance!$A$28:$A$52</c15:sqref>
                        </c15:formulaRef>
                      </c:ext>
                    </c:extLst>
                    <c:numCache>
                      <c:formatCode>General</c:formatCode>
                      <c:ptCount val="25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1856-4398-A86C-ECCE62D44F1C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finance!$B$27</c15:sqref>
                        </c15:formulaRef>
                      </c:ext>
                    </c:extLst>
                    <c:strCache>
                      <c:ptCount val="1"/>
                      <c:pt idx="0">
                        <c:v>Payment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finance!$B$28:$B$57</c15:sqref>
                        </c15:fullRef>
                        <c15:formulaRef>
                          <c15:sqref>finance!$B$28:$B$52</c15:sqref>
                        </c15:formulaRef>
                      </c:ext>
                    </c:extLst>
                    <c:numCache>
                      <c:formatCode>#,##0</c:formatCode>
                      <c:ptCount val="25"/>
                      <c:pt idx="0">
                        <c:v>-41977.192575882436</c:v>
                      </c:pt>
                      <c:pt idx="1">
                        <c:v>-41977.192575882436</c:v>
                      </c:pt>
                      <c:pt idx="2">
                        <c:v>-41977.192575882436</c:v>
                      </c:pt>
                      <c:pt idx="3">
                        <c:v>-41977.192575882436</c:v>
                      </c:pt>
                      <c:pt idx="4">
                        <c:v>-41977.192575882436</c:v>
                      </c:pt>
                      <c:pt idx="5">
                        <c:v>-41977.192575882436</c:v>
                      </c:pt>
                      <c:pt idx="6">
                        <c:v>-41977.192575882436</c:v>
                      </c:pt>
                      <c:pt idx="7">
                        <c:v>-41977.192575882436</c:v>
                      </c:pt>
                      <c:pt idx="8">
                        <c:v>-41977.192575882436</c:v>
                      </c:pt>
                      <c:pt idx="9">
                        <c:v>-41977.192575882436</c:v>
                      </c:pt>
                      <c:pt idx="10">
                        <c:v>-41977.192575882436</c:v>
                      </c:pt>
                      <c:pt idx="11">
                        <c:v>-41977.192575882436</c:v>
                      </c:pt>
                      <c:pt idx="12">
                        <c:v>-41977.192575882436</c:v>
                      </c:pt>
                      <c:pt idx="13">
                        <c:v>-41977.192575882436</c:v>
                      </c:pt>
                      <c:pt idx="14">
                        <c:v>-41977.192575882436</c:v>
                      </c:pt>
                      <c:pt idx="15">
                        <c:v>-41977.192575882436</c:v>
                      </c:pt>
                      <c:pt idx="16">
                        <c:v>-41977.192575882436</c:v>
                      </c:pt>
                      <c:pt idx="17">
                        <c:v>-41977.192575882436</c:v>
                      </c:pt>
                      <c:pt idx="18">
                        <c:v>-41977.192575882436</c:v>
                      </c:pt>
                      <c:pt idx="19">
                        <c:v>-41977.192575882436</c:v>
                      </c:pt>
                      <c:pt idx="20">
                        <c:v>-41977.192575882436</c:v>
                      </c:pt>
                      <c:pt idx="21">
                        <c:v>-41977.192575882436</c:v>
                      </c:pt>
                      <c:pt idx="22">
                        <c:v>-41977.192575882436</c:v>
                      </c:pt>
                      <c:pt idx="23">
                        <c:v>-41977.192575882436</c:v>
                      </c:pt>
                      <c:pt idx="24">
                        <c:v>-41977.192575882436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1856-4398-A86C-ECCE62D44F1C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finance!$C$27</c15:sqref>
                        </c15:formulaRef>
                      </c:ext>
                    </c:extLst>
                    <c:strCache>
                      <c:ptCount val="1"/>
                      <c:pt idx="0">
                        <c:v>Principal 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finance!$C$28:$C$57</c15:sqref>
                        </c15:fullRef>
                        <c15:formulaRef>
                          <c15:sqref>finance!$C$28:$C$52</c15:sqref>
                        </c15:formulaRef>
                      </c:ext>
                    </c:extLst>
                    <c:numCache>
                      <c:formatCode>#,##0</c:formatCode>
                      <c:ptCount val="25"/>
                      <c:pt idx="0">
                        <c:v>-8327.2325758824318</c:v>
                      </c:pt>
                      <c:pt idx="1">
                        <c:v>-8788.5612605863171</c:v>
                      </c:pt>
                      <c:pt idx="2">
                        <c:v>-9275.4475544228007</c:v>
                      </c:pt>
                      <c:pt idx="3">
                        <c:v>-9789.3073489378239</c:v>
                      </c:pt>
                      <c:pt idx="4">
                        <c:v>-10331.634976068977</c:v>
                      </c:pt>
                      <c:pt idx="5">
                        <c:v>-10904.007553743199</c:v>
                      </c:pt>
                      <c:pt idx="6">
                        <c:v>-11508.089572220571</c:v>
                      </c:pt>
                      <c:pt idx="7">
                        <c:v>-12145.637734521591</c:v>
                      </c:pt>
                      <c:pt idx="8">
                        <c:v>-12818.506065014088</c:v>
                      </c:pt>
                      <c:pt idx="9">
                        <c:v>-13528.651301015869</c:v>
                      </c:pt>
                      <c:pt idx="10">
                        <c:v>-14278.138583092148</c:v>
                      </c:pt>
                      <c:pt idx="11">
                        <c:v>-15069.147460595455</c:v>
                      </c:pt>
                      <c:pt idx="12">
                        <c:v>-15903.978229912438</c:v>
                      </c:pt>
                      <c:pt idx="13">
                        <c:v>-16785.058623849593</c:v>
                      </c:pt>
                      <c:pt idx="14">
                        <c:v>-17714.950871610858</c:v>
                      </c:pt>
                      <c:pt idx="15">
                        <c:v>-18696.3591498981</c:v>
                      </c:pt>
                      <c:pt idx="16">
                        <c:v>-19732.137446802455</c:v>
                      </c:pt>
                      <c:pt idx="17">
                        <c:v>-20825.297861355306</c:v>
                      </c:pt>
                      <c:pt idx="18">
                        <c:v>-21979.019362874391</c:v>
                      </c:pt>
                      <c:pt idx="19">
                        <c:v>-23196.657035577631</c:v>
                      </c:pt>
                      <c:pt idx="20">
                        <c:v>-24481.751835348634</c:v>
                      </c:pt>
                      <c:pt idx="21">
                        <c:v>-25838.040887026946</c:v>
                      </c:pt>
                      <c:pt idx="22">
                        <c:v>-27269.468352168242</c:v>
                      </c:pt>
                      <c:pt idx="23">
                        <c:v>-28780.196898878359</c:v>
                      </c:pt>
                      <c:pt idx="24">
                        <c:v>-30374.619807076226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1856-4398-A86C-ECCE62D44F1C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finance!$D$27</c15:sqref>
                        </c15:formulaRef>
                      </c:ext>
                    </c:extLst>
                    <c:strCache>
                      <c:ptCount val="1"/>
                      <c:pt idx="0">
                        <c:v>Interest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finance!$D$28:$D$57</c15:sqref>
                        </c15:fullRef>
                        <c15:formulaRef>
                          <c15:sqref>finance!$D$28:$D$52</c15:sqref>
                        </c15:formulaRef>
                      </c:ext>
                    </c:extLst>
                    <c:numCache>
                      <c:formatCode>#,##0</c:formatCode>
                      <c:ptCount val="25"/>
                      <c:pt idx="0">
                        <c:v>-33649.96</c:v>
                      </c:pt>
                      <c:pt idx="1">
                        <c:v>-33188.631315296108</c:v>
                      </c:pt>
                      <c:pt idx="2">
                        <c:v>-32701.745021459632</c:v>
                      </c:pt>
                      <c:pt idx="3">
                        <c:v>-32187.885226944611</c:v>
                      </c:pt>
                      <c:pt idx="4">
                        <c:v>-31645.557599813459</c:v>
                      </c:pt>
                      <c:pt idx="5">
                        <c:v>-31073.185022139231</c:v>
                      </c:pt>
                      <c:pt idx="6">
                        <c:v>-30469.103003661865</c:v>
                      </c:pt>
                      <c:pt idx="7">
                        <c:v>-29831.554841360845</c:v>
                      </c:pt>
                      <c:pt idx="8">
                        <c:v>-29158.686510868345</c:v>
                      </c:pt>
                      <c:pt idx="9">
                        <c:v>-28448.541274866566</c:v>
                      </c:pt>
                      <c:pt idx="10">
                        <c:v>-27699.053992790283</c:v>
                      </c:pt>
                      <c:pt idx="11">
                        <c:v>-26908.045115286979</c:v>
                      </c:pt>
                      <c:pt idx="12">
                        <c:v>-26073.214345969995</c:v>
                      </c:pt>
                      <c:pt idx="13">
                        <c:v>-25192.133952032844</c:v>
                      </c:pt>
                      <c:pt idx="14">
                        <c:v>-24262.241704271575</c:v>
                      </c:pt>
                      <c:pt idx="15">
                        <c:v>-23280.833425984336</c:v>
                      </c:pt>
                      <c:pt idx="16">
                        <c:v>-22245.055129079978</c:v>
                      </c:pt>
                      <c:pt idx="17">
                        <c:v>-21151.894714527127</c:v>
                      </c:pt>
                      <c:pt idx="18">
                        <c:v>-19998.173213008042</c:v>
                      </c:pt>
                      <c:pt idx="19">
                        <c:v>-18780.535540304802</c:v>
                      </c:pt>
                      <c:pt idx="20">
                        <c:v>-17495.440740533802</c:v>
                      </c:pt>
                      <c:pt idx="21">
                        <c:v>-16139.151688855485</c:v>
                      </c:pt>
                      <c:pt idx="22">
                        <c:v>-14707.724223714193</c:v>
                      </c:pt>
                      <c:pt idx="23">
                        <c:v>-13196.99567700407</c:v>
                      </c:pt>
                      <c:pt idx="24">
                        <c:v>-11602.572768806212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1856-4398-A86C-ECCE62D44F1C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finance!$E$27</c15:sqref>
                        </c15:formulaRef>
                      </c:ext>
                    </c:extLst>
                    <c:strCache>
                      <c:ptCount val="1"/>
                      <c:pt idx="0">
                        <c:v>Balance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finance!$E$28:$E$57</c15:sqref>
                        </c15:fullRef>
                        <c15:formulaRef>
                          <c15:sqref>finance!$E$28:$E$52</c15:sqref>
                        </c15:formulaRef>
                      </c:ext>
                    </c:extLst>
                    <c:numCache>
                      <c:formatCode>#,##0</c:formatCode>
                      <c:ptCount val="25"/>
                      <c:pt idx="0">
                        <c:v>599072.76742411754</c:v>
                      </c:pt>
                      <c:pt idx="1">
                        <c:v>590284.20616353117</c:v>
                      </c:pt>
                      <c:pt idx="2">
                        <c:v>581008.75860910839</c:v>
                      </c:pt>
                      <c:pt idx="3">
                        <c:v>571219.45126017055</c:v>
                      </c:pt>
                      <c:pt idx="4">
                        <c:v>560887.81628410157</c:v>
                      </c:pt>
                      <c:pt idx="5">
                        <c:v>549983.80873035837</c:v>
                      </c:pt>
                      <c:pt idx="6">
                        <c:v>538475.7191581378</c:v>
                      </c:pt>
                      <c:pt idx="7">
                        <c:v>526330.08142361615</c:v>
                      </c:pt>
                      <c:pt idx="8">
                        <c:v>513511.57535860204</c:v>
                      </c:pt>
                      <c:pt idx="9">
                        <c:v>499982.92405758618</c:v>
                      </c:pt>
                      <c:pt idx="10">
                        <c:v>485704.78547449404</c:v>
                      </c:pt>
                      <c:pt idx="11">
                        <c:v>470635.63801389857</c:v>
                      </c:pt>
                      <c:pt idx="12">
                        <c:v>454731.65978398611</c:v>
                      </c:pt>
                      <c:pt idx="13">
                        <c:v>437946.60116013652</c:v>
                      </c:pt>
                      <c:pt idx="14">
                        <c:v>420231.65028852568</c:v>
                      </c:pt>
                      <c:pt idx="15">
                        <c:v>401535.29113862757</c:v>
                      </c:pt>
                      <c:pt idx="16">
                        <c:v>381803.15369182511</c:v>
                      </c:pt>
                      <c:pt idx="17">
                        <c:v>360977.85583046981</c:v>
                      </c:pt>
                      <c:pt idx="18">
                        <c:v>338998.83646759542</c:v>
                      </c:pt>
                      <c:pt idx="19">
                        <c:v>315802.17943201779</c:v>
                      </c:pt>
                      <c:pt idx="20">
                        <c:v>291320.42759666918</c:v>
                      </c:pt>
                      <c:pt idx="21">
                        <c:v>265482.38670964225</c:v>
                      </c:pt>
                      <c:pt idx="22">
                        <c:v>238212.918357474</c:v>
                      </c:pt>
                      <c:pt idx="23">
                        <c:v>209432.72145859565</c:v>
                      </c:pt>
                      <c:pt idx="24">
                        <c:v>179058.10165151942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1856-4398-A86C-ECCE62D44F1C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finance!$F$27</c15:sqref>
                        </c15:formulaRef>
                      </c:ext>
                    </c:extLst>
                    <c:strCache>
                      <c:ptCount val="1"/>
                      <c:pt idx="0">
                        <c:v>yield_yearly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finance!$F$28:$F$57</c15:sqref>
                        </c15:fullRef>
                        <c15:formulaRef>
                          <c15:sqref>finance!$F$28:$F$52</c15:sqref>
                        </c15:formulaRef>
                      </c:ext>
                    </c:extLst>
                    <c:numCache>
                      <c:formatCode>#,##0</c:formatCode>
                      <c:ptCount val="25"/>
                      <c:pt idx="0">
                        <c:v>29172</c:v>
                      </c:pt>
                      <c:pt idx="1">
                        <c:v>30922.320000000003</c:v>
                      </c:pt>
                      <c:pt idx="2">
                        <c:v>32777.659200000009</c:v>
                      </c:pt>
                      <c:pt idx="3">
                        <c:v>34744.318752000006</c:v>
                      </c:pt>
                      <c:pt idx="4">
                        <c:v>36828.977877120007</c:v>
                      </c:pt>
                      <c:pt idx="5">
                        <c:v>39038.716549747209</c:v>
                      </c:pt>
                      <c:pt idx="6">
                        <c:v>41381.03954273204</c:v>
                      </c:pt>
                      <c:pt idx="7">
                        <c:v>43863.901915295966</c:v>
                      </c:pt>
                      <c:pt idx="8">
                        <c:v>46495.736030213724</c:v>
                      </c:pt>
                      <c:pt idx="9">
                        <c:v>49285.480192026545</c:v>
                      </c:pt>
                      <c:pt idx="10">
                        <c:v>52242.609003548147</c:v>
                      </c:pt>
                      <c:pt idx="11">
                        <c:v>55377.165543761039</c:v>
                      </c:pt>
                      <c:pt idx="12">
                        <c:v>58699.795476386702</c:v>
                      </c:pt>
                      <c:pt idx="13">
                        <c:v>62221.783204969906</c:v>
                      </c:pt>
                      <c:pt idx="14">
                        <c:v>65955.090197268102</c:v>
                      </c:pt>
                      <c:pt idx="15">
                        <c:v>69912.395609104191</c:v>
                      </c:pt>
                      <c:pt idx="16">
                        <c:v>74107.139345650459</c:v>
                      </c:pt>
                      <c:pt idx="17">
                        <c:v>78553.567706389484</c:v>
                      </c:pt>
                      <c:pt idx="18">
                        <c:v>83266.781768772868</c:v>
                      </c:pt>
                      <c:pt idx="19">
                        <c:v>88262.788674899231</c:v>
                      </c:pt>
                      <c:pt idx="20">
                        <c:v>93558.555995393195</c:v>
                      </c:pt>
                      <c:pt idx="21">
                        <c:v>99172.069355116779</c:v>
                      </c:pt>
                      <c:pt idx="22">
                        <c:v>105122.39351642379</c:v>
                      </c:pt>
                      <c:pt idx="23">
                        <c:v>111429.73712740921</c:v>
                      </c:pt>
                      <c:pt idx="24">
                        <c:v>118115.52135505377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1856-4398-A86C-ECCE62D44F1C}"/>
                  </c:ext>
                </c:extLst>
              </c15:ser>
            </c15:filteredLineSeries>
          </c:ext>
        </c:extLst>
      </c:lineChart>
      <c:lineChart>
        <c:grouping val="standard"/>
        <c:varyColors val="0"/>
        <c:ser>
          <c:idx val="9"/>
          <c:order val="9"/>
          <c:tx>
            <c:strRef>
              <c:f>finance!$L$27</c:f>
              <c:strCache>
                <c:ptCount val="1"/>
                <c:pt idx="0">
                  <c:v>cashflow_0</c:v>
                </c:pt>
              </c:strCache>
            </c:strRef>
          </c:tx>
          <c:spPr>
            <a:ln w="1270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strLit>
              <c:ptCount val="25"/>
              <c:pt idx="0">
                <c:v> 1 </c:v>
              </c:pt>
              <c:pt idx="1">
                <c:v> 2 </c:v>
              </c:pt>
              <c:pt idx="2">
                <c:v> 3 </c:v>
              </c:pt>
              <c:pt idx="3">
                <c:v> 4 </c:v>
              </c:pt>
              <c:pt idx="4">
                <c:v> 5 </c:v>
              </c:pt>
              <c:pt idx="5">
                <c:v> 6 </c:v>
              </c:pt>
              <c:pt idx="6">
                <c:v> 7 </c:v>
              </c:pt>
              <c:pt idx="7">
                <c:v> 8 </c:v>
              </c:pt>
              <c:pt idx="8">
                <c:v> 9 </c:v>
              </c:pt>
              <c:pt idx="9">
                <c:v> 10 </c:v>
              </c:pt>
              <c:pt idx="10">
                <c:v> 11 </c:v>
              </c:pt>
              <c:pt idx="11">
                <c:v> 12 </c:v>
              </c:pt>
              <c:pt idx="12">
                <c:v> 13 </c:v>
              </c:pt>
              <c:pt idx="13">
                <c:v> 14 </c:v>
              </c:pt>
              <c:pt idx="14">
                <c:v> 15 </c:v>
              </c:pt>
              <c:pt idx="15">
                <c:v> 16 </c:v>
              </c:pt>
              <c:pt idx="16">
                <c:v> 17 </c:v>
              </c:pt>
              <c:pt idx="17">
                <c:v> 18 </c:v>
              </c:pt>
              <c:pt idx="18">
                <c:v> 19 </c:v>
              </c:pt>
              <c:pt idx="19">
                <c:v> 20 </c:v>
              </c:pt>
              <c:pt idx="20">
                <c:v> 21 </c:v>
              </c:pt>
              <c:pt idx="21">
                <c:v> 22 </c:v>
              </c:pt>
              <c:pt idx="22">
                <c:v> 23 </c:v>
              </c:pt>
              <c:pt idx="23">
                <c:v> 24 </c:v>
              </c:pt>
              <c:pt idx="24">
                <c:v> 25 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finance!$L$28:$L$57</c15:sqref>
                  </c15:fullRef>
                </c:ext>
              </c:extLst>
              <c:f>finance!$L$28:$L$52</c:f>
              <c:numCache>
                <c:formatCode>_-* #,##0_-;\-* #,##0_-;_-* "-"??_-;_-@_-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1856-4398-A86C-ECCE62D44F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09075144"/>
        <c:axId val="509074424"/>
      </c:lineChart>
      <c:catAx>
        <c:axId val="739982424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9982784"/>
        <c:crosses val="autoZero"/>
        <c:auto val="1"/>
        <c:lblAlgn val="ctr"/>
        <c:lblOffset val="100"/>
        <c:noMultiLvlLbl val="0"/>
      </c:catAx>
      <c:valAx>
        <c:axId val="7399827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&quot;$&quot;* #,##0_-;\-&quot;$&quot;* #,##0_-;_-&quot;$&quot;* &quot;-&quot;??_-;_-@_-" sourceLinked="1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9982424"/>
        <c:crosses val="autoZero"/>
        <c:crossBetween val="between"/>
      </c:valAx>
      <c:valAx>
        <c:axId val="509074424"/>
        <c:scaling>
          <c:orientation val="minMax"/>
        </c:scaling>
        <c:delete val="0"/>
        <c:axPos val="r"/>
        <c:numFmt formatCode="_-&quot;$&quot;* #,##0_-;\-&quot;$&quot;* #,##0_-;_-&quot;$&quot;* &quot;-&quot;??_-;_-@_-" sourceLinked="1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09075144"/>
        <c:crosses val="max"/>
        <c:crossBetween val="between"/>
      </c:valAx>
      <c:catAx>
        <c:axId val="509075144"/>
        <c:scaling>
          <c:orientation val="minMax"/>
        </c:scaling>
        <c:delete val="1"/>
        <c:axPos val="b"/>
        <c:majorTickMark val="out"/>
        <c:minorTickMark val="none"/>
        <c:tickLblPos val="nextTo"/>
        <c:crossAx val="50907442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egendEntry>
        <c:idx val="4"/>
        <c:delete val="1"/>
      </c:legendEntry>
      <c:layout>
        <c:manualLayout>
          <c:xMode val="edge"/>
          <c:yMode val="edge"/>
          <c:x val="9.0169500063632127E-2"/>
          <c:y val="8.0187995208283541E-2"/>
          <c:w val="0.27944186937285614"/>
          <c:h val="0.1463677588986655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11186</xdr:colOff>
      <xdr:row>0</xdr:row>
      <xdr:rowOff>106971</xdr:rowOff>
    </xdr:from>
    <xdr:to>
      <xdr:col>13</xdr:col>
      <xdr:colOff>2931</xdr:colOff>
      <xdr:row>24</xdr:row>
      <xdr:rowOff>99987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3A8FF866-93B7-ACF4-0B54-4B07D85FF1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2527A-3BE5-4BA5-A375-284826528062}">
  <dimension ref="A1:Q62"/>
  <sheetViews>
    <sheetView tabSelected="1" topLeftCell="A2" zoomScale="130" zoomScaleNormal="130" workbookViewId="0">
      <selection activeCell="N17" sqref="N17"/>
    </sheetView>
  </sheetViews>
  <sheetFormatPr baseColWidth="10" defaultColWidth="8.83203125" defaultRowHeight="15" x14ac:dyDescent="0.2"/>
  <cols>
    <col min="1" max="1" width="15.1640625" customWidth="1"/>
    <col min="2" max="3" width="11.83203125" bestFit="1" customWidth="1"/>
    <col min="4" max="4" width="19.5" bestFit="1" customWidth="1"/>
    <col min="5" max="5" width="12.83203125" bestFit="1" customWidth="1"/>
    <col min="6" max="6" width="12.83203125" customWidth="1"/>
    <col min="7" max="7" width="26.1640625" style="8" bestFit="1" customWidth="1"/>
    <col min="8" max="8" width="17.33203125" style="8" customWidth="1"/>
    <col min="9" max="9" width="14.5" style="8" customWidth="1"/>
    <col min="10" max="10" width="11.6640625" customWidth="1"/>
    <col min="11" max="11" width="10.5" customWidth="1"/>
    <col min="12" max="12" width="9.5" customWidth="1"/>
    <col min="13" max="13" width="9.5" bestFit="1" customWidth="1"/>
    <col min="14" max="14" width="26.1640625" style="8" bestFit="1" customWidth="1"/>
    <col min="15" max="15" width="20.6640625" bestFit="1" customWidth="1"/>
    <col min="16" max="16" width="9.5" bestFit="1" customWidth="1"/>
    <col min="17" max="17" width="11.1640625" bestFit="1" customWidth="1"/>
  </cols>
  <sheetData>
    <row r="1" spans="1:6" x14ac:dyDescent="0.2">
      <c r="A1" t="s">
        <v>2</v>
      </c>
      <c r="B1" s="5">
        <v>5.5399999999999998E-2</v>
      </c>
      <c r="D1" t="s">
        <v>0</v>
      </c>
      <c r="E1" s="4">
        <v>0.06</v>
      </c>
      <c r="F1" s="4"/>
    </row>
    <row r="2" spans="1:6" x14ac:dyDescent="0.2">
      <c r="A2" t="s">
        <v>10</v>
      </c>
      <c r="B2">
        <v>1</v>
      </c>
      <c r="D2" t="s">
        <v>12</v>
      </c>
      <c r="E2" s="7">
        <v>660</v>
      </c>
      <c r="F2" s="7"/>
    </row>
    <row r="3" spans="1:6" x14ac:dyDescent="0.2">
      <c r="A3" t="s">
        <v>3</v>
      </c>
      <c r="B3">
        <v>30</v>
      </c>
      <c r="D3" s="6" t="s">
        <v>14</v>
      </c>
      <c r="E3" s="4">
        <v>0.85</v>
      </c>
      <c r="F3" s="4"/>
    </row>
    <row r="4" spans="1:6" x14ac:dyDescent="0.2">
      <c r="A4" t="s">
        <v>4</v>
      </c>
      <c r="B4" s="2">
        <v>607400</v>
      </c>
      <c r="D4" t="s">
        <v>16</v>
      </c>
      <c r="E4" s="4">
        <v>0.06</v>
      </c>
    </row>
    <row r="5" spans="1:6" x14ac:dyDescent="0.2">
      <c r="A5" t="s">
        <v>19</v>
      </c>
      <c r="B5" s="2">
        <v>740000</v>
      </c>
      <c r="D5" t="s">
        <v>24</v>
      </c>
      <c r="E5" s="4">
        <v>0.2</v>
      </c>
    </row>
    <row r="6" spans="1:6" x14ac:dyDescent="0.2">
      <c r="B6" s="2"/>
    </row>
    <row r="7" spans="1:6" x14ac:dyDescent="0.2">
      <c r="B7" s="2"/>
    </row>
    <row r="8" spans="1:6" x14ac:dyDescent="0.2">
      <c r="B8" s="2"/>
    </row>
    <row r="9" spans="1:6" x14ac:dyDescent="0.2">
      <c r="B9" s="2"/>
    </row>
    <row r="10" spans="1:6" x14ac:dyDescent="0.2">
      <c r="B10" s="2"/>
    </row>
    <row r="11" spans="1:6" x14ac:dyDescent="0.2">
      <c r="B11" s="2"/>
    </row>
    <row r="12" spans="1:6" x14ac:dyDescent="0.2">
      <c r="B12" s="2"/>
    </row>
    <row r="13" spans="1:6" x14ac:dyDescent="0.2">
      <c r="B13" s="2"/>
    </row>
    <row r="14" spans="1:6" x14ac:dyDescent="0.2">
      <c r="B14" s="2"/>
    </row>
    <row r="15" spans="1:6" x14ac:dyDescent="0.2">
      <c r="B15" s="2"/>
    </row>
    <row r="16" spans="1:6" x14ac:dyDescent="0.2">
      <c r="B16" s="2"/>
    </row>
    <row r="17" spans="1:17" x14ac:dyDescent="0.2">
      <c r="B17" s="2"/>
    </row>
    <row r="18" spans="1:17" x14ac:dyDescent="0.2">
      <c r="B18" s="2"/>
    </row>
    <row r="19" spans="1:17" x14ac:dyDescent="0.2">
      <c r="B19" s="2"/>
    </row>
    <row r="20" spans="1:17" x14ac:dyDescent="0.2">
      <c r="B20" s="2"/>
    </row>
    <row r="21" spans="1:17" x14ac:dyDescent="0.2">
      <c r="B21" s="2"/>
    </row>
    <row r="22" spans="1:17" x14ac:dyDescent="0.2">
      <c r="B22" s="2"/>
    </row>
    <row r="23" spans="1:17" x14ac:dyDescent="0.2">
      <c r="B23" s="2"/>
    </row>
    <row r="24" spans="1:17" x14ac:dyDescent="0.2">
      <c r="B24" s="2"/>
    </row>
    <row r="25" spans="1:17" x14ac:dyDescent="0.2">
      <c r="B25" s="2"/>
    </row>
    <row r="26" spans="1:17" x14ac:dyDescent="0.2">
      <c r="B26" s="2"/>
    </row>
    <row r="27" spans="1:17" s="10" customFormat="1" x14ac:dyDescent="0.2">
      <c r="A27" s="10" t="s">
        <v>5</v>
      </c>
      <c r="B27" s="11" t="s">
        <v>6</v>
      </c>
      <c r="C27" s="11" t="s">
        <v>7</v>
      </c>
      <c r="D27" s="11" t="s">
        <v>8</v>
      </c>
      <c r="E27" s="11" t="s">
        <v>9</v>
      </c>
      <c r="F27" s="11" t="s">
        <v>15</v>
      </c>
      <c r="G27" s="12" t="s">
        <v>22</v>
      </c>
      <c r="H27" s="12" t="s">
        <v>1</v>
      </c>
      <c r="I27" s="12" t="s">
        <v>17</v>
      </c>
      <c r="J27" s="11" t="s">
        <v>11</v>
      </c>
      <c r="K27" s="11" t="s">
        <v>13</v>
      </c>
      <c r="L27" s="10" t="s">
        <v>18</v>
      </c>
      <c r="M27" s="10" t="s">
        <v>20</v>
      </c>
      <c r="N27" s="12" t="s">
        <v>21</v>
      </c>
      <c r="O27" s="10" t="s">
        <v>23</v>
      </c>
    </row>
    <row r="28" spans="1:17" x14ac:dyDescent="0.2">
      <c r="A28">
        <v>1</v>
      </c>
      <c r="B28" s="3">
        <f t="shared" ref="B28:B57" si="0">PMT(Annual_Rate/Payments___Year,Years*Payments___Year,Amount)</f>
        <v>-41977.192575882436</v>
      </c>
      <c r="C28" s="3">
        <f t="shared" ref="C28:C57" si="1">PPMT(Annual_Rate/Payments___Year,A28,Years*Payments___Year,Amount)</f>
        <v>-8327.2325758824318</v>
      </c>
      <c r="D28" s="3">
        <f t="shared" ref="D28:D57" si="2">IPMT(Annual_Rate/Payments___Year,A28,Years*Payments___Year,Amount)</f>
        <v>-33649.96</v>
      </c>
      <c r="E28" s="3">
        <f>Amount+C28</f>
        <v>599072.76742411754</v>
      </c>
      <c r="F28" s="3">
        <f>52*K28</f>
        <v>29172</v>
      </c>
      <c r="G28" s="8">
        <f>B28+F28+M28</f>
        <v>-10244.154060705949</v>
      </c>
      <c r="H28" s="8">
        <f>Initial_Value*(1+cap_appreciation_rate)</f>
        <v>784400</v>
      </c>
      <c r="I28" s="8">
        <f>H28-E28</f>
        <v>185327.23257588246</v>
      </c>
      <c r="J28" s="1">
        <f t="shared" ref="J28:J57" si="3">B28/52</f>
        <v>-807.2537033823545</v>
      </c>
      <c r="K28">
        <f>rental_income*rental_yield</f>
        <v>561</v>
      </c>
      <c r="L28" s="2">
        <v>0</v>
      </c>
      <c r="M28" s="2">
        <f>-N28*tax_rate</f>
        <v>2561.0385151764876</v>
      </c>
      <c r="N28" s="8">
        <f>B28+F28</f>
        <v>-12805.192575882436</v>
      </c>
      <c r="O28" s="2"/>
      <c r="P28" s="2"/>
      <c r="Q28" s="2"/>
    </row>
    <row r="29" spans="1:17" x14ac:dyDescent="0.2">
      <c r="A29">
        <v>2</v>
      </c>
      <c r="B29" s="3">
        <f t="shared" si="0"/>
        <v>-41977.192575882436</v>
      </c>
      <c r="C29" s="3">
        <f t="shared" si="1"/>
        <v>-8788.5612605863171</v>
      </c>
      <c r="D29" s="3">
        <f t="shared" si="2"/>
        <v>-33188.631315296108</v>
      </c>
      <c r="E29" s="3">
        <f>E28+C29</f>
        <v>590284.20616353117</v>
      </c>
      <c r="F29" s="3">
        <f t="shared" ref="F29:F57" si="4">52*K29</f>
        <v>30922.320000000003</v>
      </c>
      <c r="G29" s="8">
        <f t="shared" ref="G29:G57" si="5">B29+F29+M29</f>
        <v>-8843.8980607059457</v>
      </c>
      <c r="H29" s="8">
        <f t="shared" ref="H29:H57" si="6">H28*(1+cap_appreciation_rate)</f>
        <v>831464</v>
      </c>
      <c r="I29" s="8">
        <f t="shared" ref="I29:I57" si="7">H29-E29</f>
        <v>241179.79383646883</v>
      </c>
      <c r="J29" s="1">
        <f t="shared" si="3"/>
        <v>-807.2537033823545</v>
      </c>
      <c r="K29" s="9">
        <f t="shared" ref="K29:K57" si="8">K28*(1+rental_growth)</f>
        <v>594.66000000000008</v>
      </c>
      <c r="L29" s="2">
        <v>0</v>
      </c>
      <c r="M29" s="2">
        <f>-N29*tax_rate</f>
        <v>2210.9745151764869</v>
      </c>
      <c r="N29" s="8">
        <f t="shared" ref="N29:N57" si="9">B29+F29</f>
        <v>-11054.872575882433</v>
      </c>
      <c r="O29" s="2"/>
      <c r="P29" s="2"/>
      <c r="Q29" s="2"/>
    </row>
    <row r="30" spans="1:17" x14ac:dyDescent="0.2">
      <c r="A30">
        <v>3</v>
      </c>
      <c r="B30" s="3">
        <f t="shared" si="0"/>
        <v>-41977.192575882436</v>
      </c>
      <c r="C30" s="3">
        <f t="shared" si="1"/>
        <v>-9275.4475544228007</v>
      </c>
      <c r="D30" s="3">
        <f t="shared" si="2"/>
        <v>-32701.745021459632</v>
      </c>
      <c r="E30" s="3">
        <f t="shared" ref="E30:E57" si="10">E29+C30</f>
        <v>581008.75860910839</v>
      </c>
      <c r="F30" s="3">
        <f t="shared" si="4"/>
        <v>32777.659200000009</v>
      </c>
      <c r="G30" s="8">
        <f t="shared" si="5"/>
        <v>-7359.6267007059414</v>
      </c>
      <c r="H30" s="8">
        <f t="shared" si="6"/>
        <v>881351.84000000008</v>
      </c>
      <c r="I30" s="8">
        <f t="shared" si="7"/>
        <v>300343.08139089169</v>
      </c>
      <c r="J30" s="1">
        <f t="shared" si="3"/>
        <v>-807.2537033823545</v>
      </c>
      <c r="K30" s="9">
        <f t="shared" si="8"/>
        <v>630.33960000000013</v>
      </c>
      <c r="L30" s="2">
        <v>0</v>
      </c>
      <c r="M30" s="2">
        <f>-N30*tax_rate</f>
        <v>1839.9066751764856</v>
      </c>
      <c r="N30" s="8">
        <f t="shared" si="9"/>
        <v>-9199.5333758824272</v>
      </c>
      <c r="O30" s="2"/>
      <c r="P30" s="2"/>
      <c r="Q30" s="2"/>
    </row>
    <row r="31" spans="1:17" x14ac:dyDescent="0.2">
      <c r="A31">
        <v>4</v>
      </c>
      <c r="B31" s="3">
        <f t="shared" si="0"/>
        <v>-41977.192575882436</v>
      </c>
      <c r="C31" s="3">
        <f t="shared" si="1"/>
        <v>-9789.3073489378239</v>
      </c>
      <c r="D31" s="3">
        <f t="shared" si="2"/>
        <v>-32187.885226944611</v>
      </c>
      <c r="E31" s="3">
        <f t="shared" si="10"/>
        <v>571219.45126017055</v>
      </c>
      <c r="F31" s="3">
        <f t="shared" si="4"/>
        <v>34744.318752000006</v>
      </c>
      <c r="G31" s="8">
        <f t="shared" si="5"/>
        <v>-5786.2990591059443</v>
      </c>
      <c r="H31" s="8">
        <f t="shared" si="6"/>
        <v>934232.95040000009</v>
      </c>
      <c r="I31" s="8">
        <f t="shared" si="7"/>
        <v>363013.49913982954</v>
      </c>
      <c r="J31" s="1">
        <f t="shared" si="3"/>
        <v>-807.2537033823545</v>
      </c>
      <c r="K31" s="9">
        <f t="shared" si="8"/>
        <v>668.15997600000014</v>
      </c>
      <c r="L31" s="2">
        <v>0</v>
      </c>
      <c r="M31" s="2">
        <f>-N31*tax_rate</f>
        <v>1446.5747647764861</v>
      </c>
      <c r="N31" s="8">
        <f t="shared" si="9"/>
        <v>-7232.8738238824299</v>
      </c>
      <c r="O31" s="2"/>
      <c r="P31" s="2"/>
      <c r="Q31" s="2"/>
    </row>
    <row r="32" spans="1:17" x14ac:dyDescent="0.2">
      <c r="A32">
        <v>5</v>
      </c>
      <c r="B32" s="3">
        <f t="shared" si="0"/>
        <v>-41977.192575882436</v>
      </c>
      <c r="C32" s="3">
        <f t="shared" si="1"/>
        <v>-10331.634976068977</v>
      </c>
      <c r="D32" s="3">
        <f t="shared" si="2"/>
        <v>-31645.557599813459</v>
      </c>
      <c r="E32" s="3">
        <f t="shared" si="10"/>
        <v>560887.81628410157</v>
      </c>
      <c r="F32" s="3">
        <f t="shared" si="4"/>
        <v>36828.977877120007</v>
      </c>
      <c r="G32" s="8">
        <f t="shared" si="5"/>
        <v>-4118.571759009943</v>
      </c>
      <c r="H32" s="8">
        <f t="shared" si="6"/>
        <v>990286.92742400011</v>
      </c>
      <c r="I32" s="8">
        <f t="shared" si="7"/>
        <v>429399.11113989854</v>
      </c>
      <c r="J32" s="1">
        <f t="shared" si="3"/>
        <v>-807.2537033823545</v>
      </c>
      <c r="K32" s="9">
        <f t="shared" si="8"/>
        <v>708.24957456000016</v>
      </c>
      <c r="L32" s="2">
        <v>0</v>
      </c>
      <c r="M32" s="2">
        <f>-N32*tax_rate</f>
        <v>1029.642939752486</v>
      </c>
      <c r="N32" s="8">
        <f t="shared" si="9"/>
        <v>-5148.2146987624292</v>
      </c>
      <c r="O32" s="2"/>
      <c r="P32" s="2"/>
      <c r="Q32" s="2"/>
    </row>
    <row r="33" spans="1:17" x14ac:dyDescent="0.2">
      <c r="A33">
        <v>6</v>
      </c>
      <c r="B33" s="3">
        <f t="shared" si="0"/>
        <v>-41977.192575882436</v>
      </c>
      <c r="C33" s="3">
        <f t="shared" si="1"/>
        <v>-10904.007553743199</v>
      </c>
      <c r="D33" s="3">
        <f t="shared" si="2"/>
        <v>-31073.185022139231</v>
      </c>
      <c r="E33" s="3">
        <f t="shared" si="10"/>
        <v>549983.80873035837</v>
      </c>
      <c r="F33" s="3">
        <f t="shared" si="4"/>
        <v>39038.716549747209</v>
      </c>
      <c r="G33" s="8">
        <f t="shared" si="5"/>
        <v>-2350.7808209081822</v>
      </c>
      <c r="H33" s="8">
        <f t="shared" si="6"/>
        <v>1049704.1430694403</v>
      </c>
      <c r="I33" s="8">
        <f t="shared" si="7"/>
        <v>499720.33433908189</v>
      </c>
      <c r="J33" s="1">
        <f t="shared" si="3"/>
        <v>-807.2537033823545</v>
      </c>
      <c r="K33" s="9">
        <f t="shared" si="8"/>
        <v>750.74454903360015</v>
      </c>
      <c r="L33" s="2">
        <v>0</v>
      </c>
      <c r="M33" s="2">
        <f>-N33*tax_rate</f>
        <v>587.69520522704556</v>
      </c>
      <c r="N33" s="8">
        <f t="shared" si="9"/>
        <v>-2938.4760261352276</v>
      </c>
      <c r="O33" s="2"/>
      <c r="P33" s="2"/>
      <c r="Q33" s="2"/>
    </row>
    <row r="34" spans="1:17" x14ac:dyDescent="0.2">
      <c r="A34">
        <v>7</v>
      </c>
      <c r="B34" s="3">
        <f t="shared" si="0"/>
        <v>-41977.192575882436</v>
      </c>
      <c r="C34" s="3">
        <f t="shared" si="1"/>
        <v>-11508.089572220571</v>
      </c>
      <c r="D34" s="3">
        <f t="shared" si="2"/>
        <v>-30469.103003661865</v>
      </c>
      <c r="E34" s="3">
        <f t="shared" si="10"/>
        <v>538475.7191581378</v>
      </c>
      <c r="F34" s="3">
        <f t="shared" si="4"/>
        <v>41381.03954273204</v>
      </c>
      <c r="G34" s="8">
        <f t="shared" si="5"/>
        <v>-476.92242652031712</v>
      </c>
      <c r="H34" s="8">
        <f t="shared" si="6"/>
        <v>1112686.3916536067</v>
      </c>
      <c r="I34" s="8">
        <f t="shared" si="7"/>
        <v>574210.67249546887</v>
      </c>
      <c r="J34" s="1">
        <f t="shared" si="3"/>
        <v>-807.2537033823545</v>
      </c>
      <c r="K34" s="9">
        <f t="shared" si="8"/>
        <v>795.78922197561621</v>
      </c>
      <c r="L34" s="2">
        <v>0</v>
      </c>
      <c r="M34" s="2">
        <f>-N34*tax_rate</f>
        <v>119.23060663007928</v>
      </c>
      <c r="N34" s="8">
        <f t="shared" si="9"/>
        <v>-596.15303315039637</v>
      </c>
      <c r="O34" s="2"/>
      <c r="P34" s="2"/>
      <c r="Q34" s="2"/>
    </row>
    <row r="35" spans="1:17" x14ac:dyDescent="0.2">
      <c r="A35">
        <v>8</v>
      </c>
      <c r="B35" s="3">
        <f t="shared" si="0"/>
        <v>-41977.192575882436</v>
      </c>
      <c r="C35" s="3">
        <f t="shared" si="1"/>
        <v>-12145.637734521591</v>
      </c>
      <c r="D35" s="3">
        <f t="shared" si="2"/>
        <v>-29831.554841360845</v>
      </c>
      <c r="E35" s="3">
        <f t="shared" si="10"/>
        <v>526330.08142361615</v>
      </c>
      <c r="F35" s="3">
        <f t="shared" si="4"/>
        <v>43863.901915295966</v>
      </c>
      <c r="G35" s="8">
        <f t="shared" si="5"/>
        <v>1509.3674715308239</v>
      </c>
      <c r="H35" s="8">
        <f t="shared" si="6"/>
        <v>1179447.5751528232</v>
      </c>
      <c r="I35" s="8">
        <f t="shared" si="7"/>
        <v>653117.49372920708</v>
      </c>
      <c r="J35" s="1">
        <f t="shared" si="3"/>
        <v>-807.2537033823545</v>
      </c>
      <c r="K35" s="9">
        <f t="shared" si="8"/>
        <v>843.53657529415318</v>
      </c>
      <c r="L35" s="2">
        <v>0</v>
      </c>
      <c r="M35" s="2">
        <f>-N35*tax_rate</f>
        <v>-377.34186788270603</v>
      </c>
      <c r="N35" s="8">
        <f t="shared" si="9"/>
        <v>1886.70933941353</v>
      </c>
      <c r="O35" s="2"/>
      <c r="P35" s="2"/>
      <c r="Q35" s="2"/>
    </row>
    <row r="36" spans="1:17" x14ac:dyDescent="0.2">
      <c r="A36">
        <v>9</v>
      </c>
      <c r="B36" s="3">
        <f t="shared" si="0"/>
        <v>-41977.192575882436</v>
      </c>
      <c r="C36" s="3">
        <f t="shared" si="1"/>
        <v>-12818.506065014088</v>
      </c>
      <c r="D36" s="3">
        <f t="shared" si="2"/>
        <v>-29158.686510868345</v>
      </c>
      <c r="E36" s="3">
        <f t="shared" si="10"/>
        <v>513511.57535860204</v>
      </c>
      <c r="F36" s="3">
        <f t="shared" si="4"/>
        <v>46495.736030213724</v>
      </c>
      <c r="G36" s="8">
        <f t="shared" si="5"/>
        <v>3614.8347634650299</v>
      </c>
      <c r="H36" s="8">
        <f t="shared" si="6"/>
        <v>1250214.4296619927</v>
      </c>
      <c r="I36" s="8">
        <f t="shared" si="7"/>
        <v>736702.85430339072</v>
      </c>
      <c r="J36" s="1">
        <f t="shared" si="3"/>
        <v>-807.2537033823545</v>
      </c>
      <c r="K36" s="9">
        <f t="shared" si="8"/>
        <v>894.14876981180237</v>
      </c>
      <c r="L36" s="2">
        <v>0</v>
      </c>
      <c r="M36" s="2">
        <f>-N36*tax_rate</f>
        <v>-903.7086908662576</v>
      </c>
      <c r="N36" s="8">
        <f t="shared" si="9"/>
        <v>4518.5434543312876</v>
      </c>
      <c r="O36" s="2"/>
      <c r="P36" s="2"/>
      <c r="Q36" s="2"/>
    </row>
    <row r="37" spans="1:17" x14ac:dyDescent="0.2">
      <c r="A37">
        <v>10</v>
      </c>
      <c r="B37" s="3">
        <f t="shared" si="0"/>
        <v>-41977.192575882436</v>
      </c>
      <c r="C37" s="3">
        <f t="shared" si="1"/>
        <v>-13528.651301015869</v>
      </c>
      <c r="D37" s="3">
        <f t="shared" si="2"/>
        <v>-28448.541274866566</v>
      </c>
      <c r="E37" s="3">
        <f t="shared" si="10"/>
        <v>499982.92405758618</v>
      </c>
      <c r="F37" s="3">
        <f t="shared" si="4"/>
        <v>49285.480192026545</v>
      </c>
      <c r="G37" s="8">
        <f t="shared" si="5"/>
        <v>5846.6300929152876</v>
      </c>
      <c r="H37" s="8">
        <f t="shared" si="6"/>
        <v>1325227.2954417123</v>
      </c>
      <c r="I37" s="8">
        <f t="shared" si="7"/>
        <v>825244.37138412613</v>
      </c>
      <c r="J37" s="1">
        <f t="shared" si="3"/>
        <v>-807.2537033823545</v>
      </c>
      <c r="K37" s="9">
        <f t="shared" si="8"/>
        <v>947.79769600051054</v>
      </c>
      <c r="L37" s="2">
        <v>0</v>
      </c>
      <c r="M37" s="2">
        <f>-N37*tax_rate</f>
        <v>-1461.6575232288219</v>
      </c>
      <c r="N37" s="8">
        <f t="shared" si="9"/>
        <v>7308.2876161441091</v>
      </c>
      <c r="O37" s="2"/>
      <c r="P37" s="2"/>
      <c r="Q37" s="2"/>
    </row>
    <row r="38" spans="1:17" x14ac:dyDescent="0.2">
      <c r="A38">
        <v>11</v>
      </c>
      <c r="B38" s="3">
        <f t="shared" si="0"/>
        <v>-41977.192575882436</v>
      </c>
      <c r="C38" s="3">
        <f t="shared" si="1"/>
        <v>-14278.138583092148</v>
      </c>
      <c r="D38" s="3">
        <f t="shared" si="2"/>
        <v>-27699.053992790283</v>
      </c>
      <c r="E38" s="3">
        <f t="shared" si="10"/>
        <v>485704.78547449404</v>
      </c>
      <c r="F38" s="3">
        <f t="shared" si="4"/>
        <v>52242.609003548147</v>
      </c>
      <c r="G38" s="8">
        <f t="shared" si="5"/>
        <v>8212.3331421325674</v>
      </c>
      <c r="H38" s="8">
        <f t="shared" si="6"/>
        <v>1404740.933168215</v>
      </c>
      <c r="I38" s="8">
        <f t="shared" si="7"/>
        <v>919036.14769372088</v>
      </c>
      <c r="J38" s="1">
        <f t="shared" si="3"/>
        <v>-807.2537033823545</v>
      </c>
      <c r="K38" s="9">
        <f t="shared" si="8"/>
        <v>1004.6655577605412</v>
      </c>
      <c r="L38" s="2">
        <v>0</v>
      </c>
      <c r="M38" s="2">
        <f>-N38*tax_rate</f>
        <v>-2053.0832855331423</v>
      </c>
      <c r="N38" s="8">
        <f t="shared" si="9"/>
        <v>10265.41642766571</v>
      </c>
      <c r="O38" s="2"/>
      <c r="P38" s="2"/>
      <c r="Q38" s="2"/>
    </row>
    <row r="39" spans="1:17" x14ac:dyDescent="0.2">
      <c r="A39">
        <v>12</v>
      </c>
      <c r="B39" s="3">
        <f t="shared" si="0"/>
        <v>-41977.192575882436</v>
      </c>
      <c r="C39" s="3">
        <f t="shared" si="1"/>
        <v>-15069.147460595455</v>
      </c>
      <c r="D39" s="3">
        <f t="shared" si="2"/>
        <v>-26908.045115286979</v>
      </c>
      <c r="E39" s="3">
        <f t="shared" si="10"/>
        <v>470635.63801389857</v>
      </c>
      <c r="F39" s="3">
        <f t="shared" si="4"/>
        <v>55377.165543761039</v>
      </c>
      <c r="G39" s="8">
        <f t="shared" si="5"/>
        <v>10719.978374302882</v>
      </c>
      <c r="H39" s="8">
        <f t="shared" si="6"/>
        <v>1489025.389158308</v>
      </c>
      <c r="I39" s="8">
        <f t="shared" si="7"/>
        <v>1018389.7511444094</v>
      </c>
      <c r="J39" s="1">
        <f t="shared" si="3"/>
        <v>-807.2537033823545</v>
      </c>
      <c r="K39" s="9">
        <f t="shared" si="8"/>
        <v>1064.9454912261738</v>
      </c>
      <c r="L39" s="2">
        <v>0</v>
      </c>
      <c r="M39" s="2">
        <f>-N39*tax_rate</f>
        <v>-2679.9945935757205</v>
      </c>
      <c r="N39" s="8">
        <f t="shared" si="9"/>
        <v>13399.972967878603</v>
      </c>
      <c r="O39" s="2"/>
      <c r="P39" s="2"/>
      <c r="Q39" s="2"/>
    </row>
    <row r="40" spans="1:17" x14ac:dyDescent="0.2">
      <c r="A40">
        <v>13</v>
      </c>
      <c r="B40" s="3">
        <f t="shared" si="0"/>
        <v>-41977.192575882436</v>
      </c>
      <c r="C40" s="3">
        <f t="shared" si="1"/>
        <v>-15903.978229912438</v>
      </c>
      <c r="D40" s="3">
        <f t="shared" si="2"/>
        <v>-26073.214345969995</v>
      </c>
      <c r="E40" s="3">
        <f t="shared" si="10"/>
        <v>454731.65978398611</v>
      </c>
      <c r="F40" s="3">
        <f t="shared" si="4"/>
        <v>58699.795476386702</v>
      </c>
      <c r="G40" s="8">
        <f t="shared" si="5"/>
        <v>13378.082320403413</v>
      </c>
      <c r="H40" s="8">
        <f t="shared" si="6"/>
        <v>1578366.9125078067</v>
      </c>
      <c r="I40" s="8">
        <f t="shared" si="7"/>
        <v>1123635.2527238205</v>
      </c>
      <c r="J40" s="1">
        <f t="shared" si="3"/>
        <v>-807.2537033823545</v>
      </c>
      <c r="K40" s="9">
        <f t="shared" si="8"/>
        <v>1128.8422206997443</v>
      </c>
      <c r="L40" s="2">
        <v>0</v>
      </c>
      <c r="M40" s="2">
        <f>-N40*tax_rate</f>
        <v>-3344.5205801008533</v>
      </c>
      <c r="N40" s="8">
        <f t="shared" si="9"/>
        <v>16722.602900504266</v>
      </c>
      <c r="O40" s="2"/>
      <c r="P40" s="2"/>
      <c r="Q40" s="2"/>
    </row>
    <row r="41" spans="1:17" x14ac:dyDescent="0.2">
      <c r="A41">
        <v>14</v>
      </c>
      <c r="B41" s="3">
        <f t="shared" si="0"/>
        <v>-41977.192575882436</v>
      </c>
      <c r="C41" s="3">
        <f t="shared" si="1"/>
        <v>-16785.058623849593</v>
      </c>
      <c r="D41" s="3">
        <f t="shared" si="2"/>
        <v>-25192.133952032844</v>
      </c>
      <c r="E41" s="3">
        <f t="shared" si="10"/>
        <v>437946.60116013652</v>
      </c>
      <c r="F41" s="3">
        <f t="shared" si="4"/>
        <v>62221.783204969906</v>
      </c>
      <c r="G41" s="8">
        <f t="shared" si="5"/>
        <v>16195.672503269976</v>
      </c>
      <c r="H41" s="8">
        <f t="shared" si="6"/>
        <v>1673068.9272582752</v>
      </c>
      <c r="I41" s="8">
        <f t="shared" si="7"/>
        <v>1235122.3260981387</v>
      </c>
      <c r="J41" s="1">
        <f t="shared" si="3"/>
        <v>-807.2537033823545</v>
      </c>
      <c r="K41" s="9">
        <f t="shared" si="8"/>
        <v>1196.5727539417289</v>
      </c>
      <c r="L41" s="2">
        <v>0</v>
      </c>
      <c r="M41" s="2">
        <f>-N41*tax_rate</f>
        <v>-4048.918125817494</v>
      </c>
      <c r="N41" s="8">
        <f t="shared" si="9"/>
        <v>20244.59062908747</v>
      </c>
      <c r="O41" s="2"/>
      <c r="P41" s="2"/>
      <c r="Q41" s="2"/>
    </row>
    <row r="42" spans="1:17" x14ac:dyDescent="0.2">
      <c r="A42">
        <v>15</v>
      </c>
      <c r="B42" s="3">
        <f t="shared" si="0"/>
        <v>-41977.192575882436</v>
      </c>
      <c r="C42" s="3">
        <f t="shared" si="1"/>
        <v>-17714.950871610858</v>
      </c>
      <c r="D42" s="3">
        <f t="shared" si="2"/>
        <v>-24262.241704271575</v>
      </c>
      <c r="E42" s="3">
        <f t="shared" si="10"/>
        <v>420231.65028852568</v>
      </c>
      <c r="F42" s="3">
        <f t="shared" si="4"/>
        <v>65955.090197268102</v>
      </c>
      <c r="G42" s="8">
        <f t="shared" si="5"/>
        <v>19182.318097108531</v>
      </c>
      <c r="H42" s="8">
        <f t="shared" si="6"/>
        <v>1773453.0628937718</v>
      </c>
      <c r="I42" s="8">
        <f t="shared" si="7"/>
        <v>1353221.4126052461</v>
      </c>
      <c r="J42" s="1">
        <f t="shared" si="3"/>
        <v>-807.2537033823545</v>
      </c>
      <c r="K42" s="9">
        <f t="shared" si="8"/>
        <v>1268.3671191782328</v>
      </c>
      <c r="L42" s="2">
        <v>0</v>
      </c>
      <c r="M42" s="2">
        <f>-N42*tax_rate</f>
        <v>-4795.5795242771337</v>
      </c>
      <c r="N42" s="8">
        <f t="shared" si="9"/>
        <v>23977.897621385666</v>
      </c>
      <c r="O42" s="2"/>
      <c r="P42" s="2"/>
      <c r="Q42" s="2"/>
    </row>
    <row r="43" spans="1:17" x14ac:dyDescent="0.2">
      <c r="A43">
        <v>16</v>
      </c>
      <c r="B43" s="3">
        <f t="shared" si="0"/>
        <v>-41977.192575882436</v>
      </c>
      <c r="C43" s="3">
        <f t="shared" si="1"/>
        <v>-18696.3591498981</v>
      </c>
      <c r="D43" s="3">
        <f t="shared" si="2"/>
        <v>-23280.833425984336</v>
      </c>
      <c r="E43" s="3">
        <f t="shared" si="10"/>
        <v>401535.29113862757</v>
      </c>
      <c r="F43" s="3">
        <f t="shared" si="4"/>
        <v>69912.395609104191</v>
      </c>
      <c r="G43" s="8">
        <f t="shared" si="5"/>
        <v>22348.162426577404</v>
      </c>
      <c r="H43" s="8">
        <f t="shared" si="6"/>
        <v>1879860.2466673981</v>
      </c>
      <c r="I43" s="8">
        <f t="shared" si="7"/>
        <v>1478324.9555287706</v>
      </c>
      <c r="J43" s="1">
        <f t="shared" si="3"/>
        <v>-807.2537033823545</v>
      </c>
      <c r="K43" s="9">
        <f t="shared" si="8"/>
        <v>1344.4691463289269</v>
      </c>
      <c r="L43" s="2">
        <v>0</v>
      </c>
      <c r="M43" s="2">
        <f>-N43*tax_rate</f>
        <v>-5587.0406066443511</v>
      </c>
      <c r="N43" s="8">
        <f t="shared" si="9"/>
        <v>27935.203033221755</v>
      </c>
      <c r="O43" s="2"/>
      <c r="P43" s="2"/>
      <c r="Q43" s="2"/>
    </row>
    <row r="44" spans="1:17" x14ac:dyDescent="0.2">
      <c r="A44">
        <v>17</v>
      </c>
      <c r="B44" s="3">
        <f t="shared" si="0"/>
        <v>-41977.192575882436</v>
      </c>
      <c r="C44" s="3">
        <f t="shared" si="1"/>
        <v>-19732.137446802455</v>
      </c>
      <c r="D44" s="3">
        <f t="shared" si="2"/>
        <v>-22245.055129079978</v>
      </c>
      <c r="E44" s="3">
        <f t="shared" si="10"/>
        <v>381803.15369182511</v>
      </c>
      <c r="F44" s="3">
        <f t="shared" si="4"/>
        <v>74107.139345650459</v>
      </c>
      <c r="G44" s="8">
        <f t="shared" si="5"/>
        <v>25703.957415814417</v>
      </c>
      <c r="H44" s="8">
        <f t="shared" si="6"/>
        <v>1992651.8614674422</v>
      </c>
      <c r="I44" s="8">
        <f t="shared" si="7"/>
        <v>1610848.707775617</v>
      </c>
      <c r="J44" s="1">
        <f t="shared" si="3"/>
        <v>-807.2537033823545</v>
      </c>
      <c r="K44" s="9">
        <f t="shared" si="8"/>
        <v>1425.1372951086626</v>
      </c>
      <c r="L44" s="2">
        <v>0</v>
      </c>
      <c r="M44" s="2">
        <f>-N44*tax_rate</f>
        <v>-6425.9893539536051</v>
      </c>
      <c r="N44" s="8">
        <f t="shared" si="9"/>
        <v>32129.946769768023</v>
      </c>
      <c r="O44" s="2"/>
      <c r="P44" s="2"/>
      <c r="Q44" s="2"/>
    </row>
    <row r="45" spans="1:17" x14ac:dyDescent="0.2">
      <c r="A45">
        <v>18</v>
      </c>
      <c r="B45" s="3">
        <f t="shared" si="0"/>
        <v>-41977.192575882436</v>
      </c>
      <c r="C45" s="3">
        <f t="shared" si="1"/>
        <v>-20825.297861355306</v>
      </c>
      <c r="D45" s="3">
        <f t="shared" si="2"/>
        <v>-21151.894714527127</v>
      </c>
      <c r="E45" s="3">
        <f t="shared" si="10"/>
        <v>360977.85583046981</v>
      </c>
      <c r="F45" s="3">
        <f t="shared" si="4"/>
        <v>78553.567706389484</v>
      </c>
      <c r="G45" s="8">
        <f t="shared" si="5"/>
        <v>29261.100104405639</v>
      </c>
      <c r="H45" s="8">
        <f t="shared" si="6"/>
        <v>2112210.9731554887</v>
      </c>
      <c r="I45" s="8">
        <f t="shared" si="7"/>
        <v>1751233.1173250189</v>
      </c>
      <c r="J45" s="1">
        <f t="shared" si="3"/>
        <v>-807.2537033823545</v>
      </c>
      <c r="K45" s="9">
        <f t="shared" si="8"/>
        <v>1510.6455328151824</v>
      </c>
      <c r="L45" s="2">
        <v>0</v>
      </c>
      <c r="M45" s="2">
        <f>-N45*tax_rate</f>
        <v>-7315.2750261014098</v>
      </c>
      <c r="N45" s="8">
        <f t="shared" si="9"/>
        <v>36576.375130507047</v>
      </c>
      <c r="O45" s="2"/>
      <c r="P45" s="2"/>
      <c r="Q45" s="2"/>
    </row>
    <row r="46" spans="1:17" x14ac:dyDescent="0.2">
      <c r="A46">
        <v>19</v>
      </c>
      <c r="B46" s="3">
        <f t="shared" si="0"/>
        <v>-41977.192575882436</v>
      </c>
      <c r="C46" s="3">
        <f t="shared" si="1"/>
        <v>-21979.019362874391</v>
      </c>
      <c r="D46" s="3">
        <f t="shared" si="2"/>
        <v>-19998.173213008042</v>
      </c>
      <c r="E46" s="3">
        <f t="shared" si="10"/>
        <v>338998.83646759542</v>
      </c>
      <c r="F46" s="3">
        <f t="shared" si="4"/>
        <v>83266.781768772868</v>
      </c>
      <c r="G46" s="8">
        <f t="shared" si="5"/>
        <v>33031.671354312348</v>
      </c>
      <c r="H46" s="8">
        <f t="shared" si="6"/>
        <v>2238943.6315448182</v>
      </c>
      <c r="I46" s="8">
        <f t="shared" si="7"/>
        <v>1899944.7950772229</v>
      </c>
      <c r="J46" s="1">
        <f t="shared" si="3"/>
        <v>-807.2537033823545</v>
      </c>
      <c r="K46" s="9">
        <f t="shared" si="8"/>
        <v>1601.2842647840935</v>
      </c>
      <c r="L46" s="2">
        <v>0</v>
      </c>
      <c r="M46" s="2">
        <f>-N46*tax_rate</f>
        <v>-8257.917838578087</v>
      </c>
      <c r="N46" s="8">
        <f t="shared" si="9"/>
        <v>41289.589192890431</v>
      </c>
      <c r="O46" s="2"/>
      <c r="P46" s="2"/>
      <c r="Q46" s="2"/>
    </row>
    <row r="47" spans="1:17" x14ac:dyDescent="0.2">
      <c r="A47">
        <v>20</v>
      </c>
      <c r="B47" s="3">
        <f t="shared" si="0"/>
        <v>-41977.192575882436</v>
      </c>
      <c r="C47" s="3">
        <f t="shared" si="1"/>
        <v>-23196.657035577631</v>
      </c>
      <c r="D47" s="3">
        <f t="shared" si="2"/>
        <v>-18780.535540304802</v>
      </c>
      <c r="E47" s="3">
        <f t="shared" si="10"/>
        <v>315802.17943201779</v>
      </c>
      <c r="F47" s="3">
        <f t="shared" si="4"/>
        <v>88262.788674899231</v>
      </c>
      <c r="G47" s="8">
        <f t="shared" si="5"/>
        <v>37028.476879213435</v>
      </c>
      <c r="H47" s="8">
        <f t="shared" si="6"/>
        <v>2373280.2494375072</v>
      </c>
      <c r="I47" s="8">
        <f t="shared" si="7"/>
        <v>2057478.0700054895</v>
      </c>
      <c r="J47" s="1">
        <f t="shared" si="3"/>
        <v>-807.2537033823545</v>
      </c>
      <c r="K47" s="9">
        <f t="shared" si="8"/>
        <v>1697.3613206711391</v>
      </c>
      <c r="L47" s="2">
        <v>0</v>
      </c>
      <c r="M47" s="2">
        <f>-N47*tax_rate</f>
        <v>-9257.1192198033586</v>
      </c>
      <c r="N47" s="8">
        <f t="shared" si="9"/>
        <v>46285.596099016795</v>
      </c>
      <c r="O47" s="2"/>
      <c r="P47" s="2"/>
      <c r="Q47" s="2"/>
    </row>
    <row r="48" spans="1:17" x14ac:dyDescent="0.2">
      <c r="A48">
        <v>21</v>
      </c>
      <c r="B48" s="3">
        <f t="shared" si="0"/>
        <v>-41977.192575882436</v>
      </c>
      <c r="C48" s="3">
        <f t="shared" si="1"/>
        <v>-24481.751835348634</v>
      </c>
      <c r="D48" s="3">
        <f t="shared" si="2"/>
        <v>-17495.440740533802</v>
      </c>
      <c r="E48" s="3">
        <f t="shared" si="10"/>
        <v>291320.42759666918</v>
      </c>
      <c r="F48" s="3">
        <f t="shared" si="4"/>
        <v>93558.555995393195</v>
      </c>
      <c r="G48" s="8">
        <f t="shared" si="5"/>
        <v>41265.09073560861</v>
      </c>
      <c r="H48" s="8">
        <f t="shared" si="6"/>
        <v>2515677.0644037579</v>
      </c>
      <c r="I48" s="8">
        <f t="shared" si="7"/>
        <v>2224356.6368070887</v>
      </c>
      <c r="J48" s="1">
        <f t="shared" si="3"/>
        <v>-807.2537033823545</v>
      </c>
      <c r="K48" s="9">
        <f t="shared" si="8"/>
        <v>1799.2029999114075</v>
      </c>
      <c r="L48" s="2">
        <v>0</v>
      </c>
      <c r="M48" s="2">
        <f>-N48*tax_rate</f>
        <v>-10316.272683902152</v>
      </c>
      <c r="N48" s="8">
        <f t="shared" si="9"/>
        <v>51581.363419510759</v>
      </c>
      <c r="O48" s="2"/>
      <c r="P48" s="2"/>
      <c r="Q48" s="2"/>
    </row>
    <row r="49" spans="1:17" x14ac:dyDescent="0.2">
      <c r="A49">
        <v>22</v>
      </c>
      <c r="B49" s="3">
        <f t="shared" si="0"/>
        <v>-41977.192575882436</v>
      </c>
      <c r="C49" s="3">
        <f t="shared" si="1"/>
        <v>-25838.040887026946</v>
      </c>
      <c r="D49" s="3">
        <f t="shared" si="2"/>
        <v>-16139.151688855485</v>
      </c>
      <c r="E49" s="3">
        <f t="shared" si="10"/>
        <v>265482.38670964225</v>
      </c>
      <c r="F49" s="3">
        <f t="shared" si="4"/>
        <v>99172.069355116779</v>
      </c>
      <c r="G49" s="8">
        <f t="shared" si="5"/>
        <v>45755.901423387477</v>
      </c>
      <c r="H49" s="8">
        <f t="shared" si="6"/>
        <v>2666617.6882679835</v>
      </c>
      <c r="I49" s="8">
        <f t="shared" si="7"/>
        <v>2401135.3015583414</v>
      </c>
      <c r="J49" s="1">
        <f t="shared" si="3"/>
        <v>-807.2537033823545</v>
      </c>
      <c r="K49" s="9">
        <f t="shared" si="8"/>
        <v>1907.1551799060919</v>
      </c>
      <c r="L49" s="2">
        <v>0</v>
      </c>
      <c r="M49" s="2">
        <f>-N49*tax_rate</f>
        <v>-11438.975355846869</v>
      </c>
      <c r="N49" s="8">
        <f t="shared" si="9"/>
        <v>57194.876779234342</v>
      </c>
      <c r="O49" s="2"/>
      <c r="P49" s="2"/>
      <c r="Q49" s="2"/>
    </row>
    <row r="50" spans="1:17" x14ac:dyDescent="0.2">
      <c r="A50">
        <v>23</v>
      </c>
      <c r="B50" s="3">
        <f t="shared" si="0"/>
        <v>-41977.192575882436</v>
      </c>
      <c r="C50" s="3">
        <f t="shared" si="1"/>
        <v>-27269.468352168242</v>
      </c>
      <c r="D50" s="3">
        <f t="shared" si="2"/>
        <v>-14707.724223714193</v>
      </c>
      <c r="E50" s="3">
        <f t="shared" si="10"/>
        <v>238212.918357474</v>
      </c>
      <c r="F50" s="3">
        <f t="shared" si="4"/>
        <v>105122.39351642379</v>
      </c>
      <c r="G50" s="8">
        <f t="shared" si="5"/>
        <v>50516.160752433083</v>
      </c>
      <c r="H50" s="8">
        <f t="shared" si="6"/>
        <v>2826614.7495640628</v>
      </c>
      <c r="I50" s="8">
        <f t="shared" si="7"/>
        <v>2588401.831206589</v>
      </c>
      <c r="J50" s="1">
        <f t="shared" si="3"/>
        <v>-807.2537033823545</v>
      </c>
      <c r="K50" s="9">
        <f t="shared" si="8"/>
        <v>2021.5844907004575</v>
      </c>
      <c r="L50" s="2">
        <v>0</v>
      </c>
      <c r="M50" s="2">
        <f>-N50*tax_rate</f>
        <v>-12629.040188108273</v>
      </c>
      <c r="N50" s="8">
        <f t="shared" si="9"/>
        <v>63145.200940541356</v>
      </c>
      <c r="O50" s="2"/>
      <c r="P50" s="2"/>
      <c r="Q50" s="2"/>
    </row>
    <row r="51" spans="1:17" x14ac:dyDescent="0.2">
      <c r="A51">
        <v>24</v>
      </c>
      <c r="B51" s="3">
        <f t="shared" si="0"/>
        <v>-41977.192575882436</v>
      </c>
      <c r="C51" s="3">
        <f t="shared" si="1"/>
        <v>-28780.196898878359</v>
      </c>
      <c r="D51" s="3">
        <f t="shared" si="2"/>
        <v>-13196.99567700407</v>
      </c>
      <c r="E51" s="3">
        <f t="shared" si="10"/>
        <v>209432.72145859565</v>
      </c>
      <c r="F51" s="3">
        <f t="shared" si="4"/>
        <v>111429.73712740921</v>
      </c>
      <c r="G51" s="8">
        <f t="shared" si="5"/>
        <v>55562.035641221424</v>
      </c>
      <c r="H51" s="8">
        <f t="shared" si="6"/>
        <v>2996211.6345379069</v>
      </c>
      <c r="I51" s="8">
        <f t="shared" si="7"/>
        <v>2786778.9130793111</v>
      </c>
      <c r="J51" s="1">
        <f t="shared" si="3"/>
        <v>-807.2537033823545</v>
      </c>
      <c r="K51" s="9">
        <f t="shared" si="8"/>
        <v>2142.8795601424849</v>
      </c>
      <c r="L51" s="2">
        <v>0</v>
      </c>
      <c r="M51" s="2">
        <f>-N51*tax_rate</f>
        <v>-13890.508910305356</v>
      </c>
      <c r="N51" s="8">
        <f t="shared" si="9"/>
        <v>69452.544551526778</v>
      </c>
      <c r="O51" s="2"/>
      <c r="P51" s="2"/>
      <c r="Q51" s="2"/>
    </row>
    <row r="52" spans="1:17" x14ac:dyDescent="0.2">
      <c r="A52">
        <v>25</v>
      </c>
      <c r="B52" s="3">
        <f t="shared" si="0"/>
        <v>-41977.192575882436</v>
      </c>
      <c r="C52" s="3">
        <f t="shared" si="1"/>
        <v>-30374.619807076226</v>
      </c>
      <c r="D52" s="3">
        <f t="shared" si="2"/>
        <v>-11602.572768806212</v>
      </c>
      <c r="E52" s="3">
        <f t="shared" si="10"/>
        <v>179058.10165151942</v>
      </c>
      <c r="F52" s="3">
        <f t="shared" si="4"/>
        <v>118115.52135505377</v>
      </c>
      <c r="G52" s="8">
        <f t="shared" si="5"/>
        <v>60910.663023337067</v>
      </c>
      <c r="H52" s="8">
        <f t="shared" si="6"/>
        <v>3175984.3326101815</v>
      </c>
      <c r="I52" s="8">
        <f t="shared" si="7"/>
        <v>2996926.230958662</v>
      </c>
      <c r="J52" s="1">
        <f t="shared" si="3"/>
        <v>-807.2537033823545</v>
      </c>
      <c r="K52" s="9">
        <f t="shared" si="8"/>
        <v>2271.4523337510341</v>
      </c>
      <c r="L52" s="2">
        <v>0</v>
      </c>
      <c r="M52" s="2">
        <f>-N52*tax_rate</f>
        <v>-15227.665755834269</v>
      </c>
      <c r="N52" s="8">
        <f t="shared" si="9"/>
        <v>76138.328779171337</v>
      </c>
      <c r="O52" s="2"/>
      <c r="P52" s="2"/>
      <c r="Q52" s="2"/>
    </row>
    <row r="53" spans="1:17" x14ac:dyDescent="0.2">
      <c r="A53">
        <v>26</v>
      </c>
      <c r="B53" s="3">
        <f t="shared" si="0"/>
        <v>-41977.192575882436</v>
      </c>
      <c r="C53" s="3">
        <f t="shared" si="1"/>
        <v>-32057.373744388246</v>
      </c>
      <c r="D53" s="3">
        <f t="shared" si="2"/>
        <v>-9919.8188314941872</v>
      </c>
      <c r="E53" s="3">
        <f t="shared" si="10"/>
        <v>147000.72790713116</v>
      </c>
      <c r="F53" s="3">
        <f t="shared" si="4"/>
        <v>125202.45263635699</v>
      </c>
      <c r="G53" s="8">
        <f t="shared" si="5"/>
        <v>66580.208048379645</v>
      </c>
      <c r="H53" s="8">
        <f t="shared" si="6"/>
        <v>3366543.3925667927</v>
      </c>
      <c r="I53" s="8">
        <f t="shared" si="7"/>
        <v>3219542.6646596617</v>
      </c>
      <c r="J53" s="1">
        <f t="shared" si="3"/>
        <v>-807.2537033823545</v>
      </c>
      <c r="K53" s="9">
        <f t="shared" si="8"/>
        <v>2407.739473776096</v>
      </c>
      <c r="L53" s="2">
        <v>0</v>
      </c>
      <c r="M53" s="2">
        <f>-N53*tax_rate</f>
        <v>-16645.052012094911</v>
      </c>
      <c r="N53" s="8">
        <f t="shared" si="9"/>
        <v>83225.260060474553</v>
      </c>
      <c r="O53" s="2"/>
      <c r="P53" s="2"/>
      <c r="Q53" s="2"/>
    </row>
    <row r="54" spans="1:17" x14ac:dyDescent="0.2">
      <c r="A54">
        <v>27</v>
      </c>
      <c r="B54" s="3">
        <f t="shared" si="0"/>
        <v>-41977.192575882436</v>
      </c>
      <c r="C54" s="3">
        <f t="shared" si="1"/>
        <v>-33833.352249827352</v>
      </c>
      <c r="D54" s="3">
        <f t="shared" si="2"/>
        <v>-8143.8403260550795</v>
      </c>
      <c r="E54" s="3">
        <f t="shared" si="10"/>
        <v>113167.37565730381</v>
      </c>
      <c r="F54" s="3">
        <f t="shared" si="4"/>
        <v>132714.5997945384</v>
      </c>
      <c r="G54" s="8">
        <f t="shared" si="5"/>
        <v>72589.925774924777</v>
      </c>
      <c r="H54" s="8">
        <f t="shared" si="6"/>
        <v>3568535.9961208003</v>
      </c>
      <c r="I54" s="8">
        <f t="shared" si="7"/>
        <v>3455368.6204634965</v>
      </c>
      <c r="J54" s="1">
        <f t="shared" si="3"/>
        <v>-807.2537033823545</v>
      </c>
      <c r="K54" s="9">
        <f t="shared" si="8"/>
        <v>2552.2038422026617</v>
      </c>
      <c r="L54" s="2">
        <v>0</v>
      </c>
      <c r="M54" s="2">
        <f>-N54*tax_rate</f>
        <v>-18147.481443731194</v>
      </c>
      <c r="N54" s="8">
        <f t="shared" si="9"/>
        <v>90737.407218655964</v>
      </c>
      <c r="O54" s="2"/>
      <c r="P54" s="2"/>
      <c r="Q54" s="2"/>
    </row>
    <row r="55" spans="1:17" x14ac:dyDescent="0.2">
      <c r="A55">
        <v>28</v>
      </c>
      <c r="B55" s="3">
        <f t="shared" si="0"/>
        <v>-41977.192575882436</v>
      </c>
      <c r="C55" s="3">
        <f t="shared" si="1"/>
        <v>-35707.719964467789</v>
      </c>
      <c r="D55" s="3">
        <f t="shared" si="2"/>
        <v>-6269.4726114146451</v>
      </c>
      <c r="E55" s="3">
        <f t="shared" si="10"/>
        <v>77459.655692836022</v>
      </c>
      <c r="F55" s="3">
        <f t="shared" si="4"/>
        <v>140677.47578221071</v>
      </c>
      <c r="G55" s="8">
        <f t="shared" si="5"/>
        <v>78960.226565062621</v>
      </c>
      <c r="H55" s="8">
        <f t="shared" si="6"/>
        <v>3782648.1558880485</v>
      </c>
      <c r="I55" s="8">
        <f t="shared" si="7"/>
        <v>3705188.5001952127</v>
      </c>
      <c r="J55" s="1">
        <f t="shared" si="3"/>
        <v>-807.2537033823545</v>
      </c>
      <c r="K55" s="9">
        <f t="shared" si="8"/>
        <v>2705.3360727348213</v>
      </c>
      <c r="L55" s="2">
        <v>0</v>
      </c>
      <c r="M55" s="2">
        <f>-N55*tax_rate</f>
        <v>-19740.056641265655</v>
      </c>
      <c r="N55" s="8">
        <f t="shared" si="9"/>
        <v>98700.283206328269</v>
      </c>
      <c r="O55" s="2"/>
      <c r="P55" s="2"/>
      <c r="Q55" s="2"/>
    </row>
    <row r="56" spans="1:17" x14ac:dyDescent="0.2">
      <c r="A56">
        <v>29</v>
      </c>
      <c r="B56" s="3">
        <f t="shared" si="0"/>
        <v>-41977.192575882436</v>
      </c>
      <c r="C56" s="3">
        <f t="shared" si="1"/>
        <v>-37685.927650499303</v>
      </c>
      <c r="D56" s="3">
        <f t="shared" si="2"/>
        <v>-4291.2649253831296</v>
      </c>
      <c r="E56" s="3">
        <f t="shared" si="10"/>
        <v>39773.728042336719</v>
      </c>
      <c r="F56" s="3">
        <f t="shared" si="4"/>
        <v>149118.12432914338</v>
      </c>
      <c r="G56" s="8">
        <f t="shared" si="5"/>
        <v>85712.745402608751</v>
      </c>
      <c r="H56" s="8">
        <f t="shared" si="6"/>
        <v>4009607.0452413317</v>
      </c>
      <c r="I56" s="8">
        <f t="shared" si="7"/>
        <v>3969833.317198995</v>
      </c>
      <c r="J56" s="1">
        <f t="shared" si="3"/>
        <v>-807.2537033823545</v>
      </c>
      <c r="K56" s="9">
        <f t="shared" si="8"/>
        <v>2867.6562370989109</v>
      </c>
      <c r="L56" s="2">
        <v>0</v>
      </c>
      <c r="M56" s="2">
        <f>-N56*tax_rate</f>
        <v>-21428.186350652191</v>
      </c>
      <c r="N56" s="8">
        <f t="shared" si="9"/>
        <v>107140.93175326094</v>
      </c>
      <c r="O56" s="2"/>
      <c r="P56" s="2"/>
      <c r="Q56" s="2"/>
    </row>
    <row r="57" spans="1:17" x14ac:dyDescent="0.2">
      <c r="A57">
        <v>30</v>
      </c>
      <c r="B57" s="3">
        <f t="shared" si="0"/>
        <v>-41977.192575882436</v>
      </c>
      <c r="C57" s="3">
        <f t="shared" si="1"/>
        <v>-39773.728042336967</v>
      </c>
      <c r="D57" s="3">
        <f t="shared" si="2"/>
        <v>-2203.4645335454679</v>
      </c>
      <c r="E57" s="3">
        <f t="shared" si="10"/>
        <v>-2.4738255888223648E-10</v>
      </c>
      <c r="F57" s="3">
        <f t="shared" si="4"/>
        <v>158065.21178889199</v>
      </c>
      <c r="G57" s="8">
        <f t="shared" si="5"/>
        <v>92870.415370407645</v>
      </c>
      <c r="H57" s="8">
        <f t="shared" si="6"/>
        <v>4250183.4679558119</v>
      </c>
      <c r="I57" s="8">
        <f t="shared" si="7"/>
        <v>4250183.4679558119</v>
      </c>
      <c r="J57" s="1">
        <f t="shared" si="3"/>
        <v>-807.2537033823545</v>
      </c>
      <c r="K57" s="9">
        <f t="shared" si="8"/>
        <v>3039.7156113248457</v>
      </c>
      <c r="L57" s="2">
        <v>0</v>
      </c>
      <c r="M57" s="2">
        <f>-N57*tax_rate</f>
        <v>-23217.603842601911</v>
      </c>
      <c r="N57" s="8">
        <f t="shared" si="9"/>
        <v>116088.01921300955</v>
      </c>
      <c r="O57" s="2"/>
      <c r="P57" s="2"/>
      <c r="Q57" s="2"/>
    </row>
    <row r="58" spans="1:17" x14ac:dyDescent="0.2">
      <c r="K58" s="1"/>
      <c r="L58" s="2"/>
      <c r="M58" s="2"/>
      <c r="O58" s="2"/>
      <c r="P58" s="2"/>
      <c r="Q58" s="2"/>
    </row>
    <row r="59" spans="1:17" x14ac:dyDescent="0.2">
      <c r="K59" s="1"/>
      <c r="L59" s="2"/>
      <c r="M59" s="2"/>
      <c r="O59" s="2"/>
      <c r="P59" s="2"/>
      <c r="Q59" s="2"/>
    </row>
    <row r="60" spans="1:17" x14ac:dyDescent="0.2">
      <c r="K60" s="1"/>
      <c r="L60" s="2"/>
      <c r="M60" s="2"/>
      <c r="O60" s="2"/>
      <c r="P60" s="2"/>
      <c r="Q60" s="2"/>
    </row>
    <row r="61" spans="1:17" x14ac:dyDescent="0.2">
      <c r="K61" s="1"/>
      <c r="L61" s="2"/>
      <c r="M61" s="2"/>
      <c r="O61" s="2"/>
      <c r="P61" s="2"/>
      <c r="Q61" s="2"/>
    </row>
    <row r="62" spans="1:17" x14ac:dyDescent="0.2">
      <c r="K62" s="1"/>
      <c r="Q62" s="2"/>
    </row>
  </sheetData>
  <conditionalFormatting sqref="G1:I1048576 N1:N1048576">
    <cfRule type="cellIs" dxfId="0" priority="2" operator="lessThan">
      <formula>0</formula>
    </cfRule>
  </conditionalFormatting>
  <pageMargins left="0.7" right="0.7" top="0.75" bottom="0.75" header="0.3" footer="0.3"/>
  <drawing r:id="rId1"/>
</worksheet>
</file>

<file path=docMetadata/LabelInfo.xml><?xml version="1.0" encoding="utf-8"?>
<clbl:labelList xmlns:clbl="http://schemas.microsoft.com/office/2020/mipLabelMetadata">
  <clbl:label id="{ab0dfb63-2604-44bb-96be-964f1341999a}" enabled="1" method="Privileged" siteId="{45d5d807-c5ae-44c5-bb86-42f20fdebfeb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10</vt:i4>
      </vt:variant>
    </vt:vector>
  </HeadingPairs>
  <TitlesOfParts>
    <vt:vector size="11" baseType="lpstr">
      <vt:lpstr>finance</vt:lpstr>
      <vt:lpstr>Amount</vt:lpstr>
      <vt:lpstr>Annual_Rate</vt:lpstr>
      <vt:lpstr>cap_appreciation_rate</vt:lpstr>
      <vt:lpstr>Initial_Value</vt:lpstr>
      <vt:lpstr>Payments___Year</vt:lpstr>
      <vt:lpstr>rental_growth</vt:lpstr>
      <vt:lpstr>rental_income</vt:lpstr>
      <vt:lpstr>rental_yield</vt:lpstr>
      <vt:lpstr>tax_rate</vt:lpstr>
      <vt:lpstr>Years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Jose.BibinM[HRDIV]</dc:creator>
  <cp:lastModifiedBy>Bibin Jose</cp:lastModifiedBy>
  <dcterms:created xsi:type="dcterms:W3CDTF">2025-11-13T01:01:54Z</dcterms:created>
  <dcterms:modified xsi:type="dcterms:W3CDTF">2025-11-25T13:22:06Z</dcterms:modified>
</cp:coreProperties>
</file>